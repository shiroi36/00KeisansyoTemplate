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D:\Dropbox (SSLUoT)\00_20webclamp\00_雄健工業\01_広岡\00_本受書類\01_WCSの検討\"/>
    </mc:Choice>
  </mc:AlternateContent>
  <xr:revisionPtr revIDLastSave="0" documentId="13_ncr:1_{82497D32-CF60-41ED-A532-313927856CAB}" xr6:coauthVersionLast="45" xr6:coauthVersionMax="45" xr10:uidLastSave="{00000000-0000-0000-0000-000000000000}"/>
  <bookViews>
    <workbookView xWindow="552" yWindow="384" windowWidth="17556" windowHeight="11268" tabRatio="500" xr2:uid="{00000000-000D-0000-FFFF-FFFF00000000}"/>
  </bookViews>
  <sheets>
    <sheet name="柱の検討(中間階)" sheetId="3" r:id="rId1"/>
    <sheet name="設計応力まとめ" sheetId="6" r:id="rId2"/>
    <sheet name="情報" sheetId="4" r:id="rId3"/>
  </sheets>
  <definedNames>
    <definedName name="_xlnm.Print_Area" localSheetId="0">'柱の検討(中間階)'!$A$1:$AL$26</definedName>
  </definedNames>
  <calcPr calcId="18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8" i="4" l="1"/>
  <c r="E28" i="4"/>
  <c r="F28" i="4"/>
  <c r="G28" i="4"/>
  <c r="H28" i="4"/>
  <c r="I28" i="4"/>
  <c r="J28" i="4"/>
  <c r="AA4" i="3" l="1"/>
  <c r="H4" i="3"/>
  <c r="K24" i="4"/>
  <c r="J24" i="4"/>
  <c r="I24" i="4"/>
  <c r="H24" i="4"/>
  <c r="G24" i="4"/>
  <c r="F24" i="4"/>
  <c r="E24" i="4"/>
</calcChain>
</file>

<file path=xl/sharedStrings.xml><?xml version="1.0" encoding="utf-8"?>
<sst xmlns="http://schemas.openxmlformats.org/spreadsheetml/2006/main" count="547" uniqueCount="325">
  <si>
    <t>断面寸法</t>
    <rPh sb="0" eb="4">
      <t>ダンメンスンポウ</t>
    </rPh>
    <phoneticPr fontId="1"/>
  </si>
  <si>
    <t>材質</t>
    <rPh sb="0" eb="2">
      <t>ザイシツ</t>
    </rPh>
    <phoneticPr fontId="1"/>
  </si>
  <si>
    <t>接合金物</t>
    <rPh sb="0" eb="4">
      <t>セツゴウカナモノ</t>
    </rPh>
    <phoneticPr fontId="1"/>
  </si>
  <si>
    <t>設計用応力</t>
    <rPh sb="0" eb="3">
      <t>セッケイヨウ</t>
    </rPh>
    <rPh sb="3" eb="5">
      <t>オウリョク</t>
    </rPh>
    <phoneticPr fontId="1"/>
  </si>
  <si>
    <t>長期</t>
    <rPh sb="0" eb="2">
      <t>チョウキ</t>
    </rPh>
    <phoneticPr fontId="1"/>
  </si>
  <si>
    <t>短期</t>
    <rPh sb="0" eb="2">
      <t>タンキ</t>
    </rPh>
    <phoneticPr fontId="1"/>
  </si>
  <si>
    <t>×</t>
    <phoneticPr fontId="1"/>
  </si>
  <si>
    <t>基本情報</t>
    <rPh sb="0" eb="2">
      <t>キホン</t>
    </rPh>
    <rPh sb="2" eb="4">
      <t>ジョウホウ</t>
    </rPh>
    <phoneticPr fontId="1"/>
  </si>
  <si>
    <t>柱記号</t>
    <rPh sb="0" eb="1">
      <t>ハシラ</t>
    </rPh>
    <rPh sb="1" eb="3">
      <t>キゴウ</t>
    </rPh>
    <phoneticPr fontId="1"/>
  </si>
  <si>
    <t>柱情報</t>
    <rPh sb="0" eb="1">
      <t>ハシラ</t>
    </rPh>
    <rPh sb="1" eb="3">
      <t>ジョウホウ</t>
    </rPh>
    <phoneticPr fontId="1"/>
  </si>
  <si>
    <t>柱フランジ補強板判定</t>
    <rPh sb="0" eb="8">
      <t>ハシラ</t>
    </rPh>
    <rPh sb="8" eb="10">
      <t>ハンテイ</t>
    </rPh>
    <phoneticPr fontId="1"/>
  </si>
  <si>
    <t>必要寸法</t>
    <rPh sb="0" eb="4">
      <t>ヒツヨウスンポウ</t>
    </rPh>
    <phoneticPr fontId="1"/>
  </si>
  <si>
    <t>欠損断面積
補強</t>
    <rPh sb="0" eb="2">
      <t>ケッソンダンメンホキョウ</t>
    </rPh>
    <rPh sb="2" eb="8">
      <t>ダンメンセキホキョウ</t>
    </rPh>
    <phoneticPr fontId="1"/>
  </si>
  <si>
    <t>鉛直荷重時
の検討</t>
    <rPh sb="0" eb="2">
      <t>エンチョク</t>
    </rPh>
    <rPh sb="2" eb="4">
      <t>カジュウ</t>
    </rPh>
    <rPh sb="4" eb="5">
      <t>ジ</t>
    </rPh>
    <rPh sb="7" eb="9">
      <t>ケントウ</t>
    </rPh>
    <phoneticPr fontId="1"/>
  </si>
  <si>
    <r>
      <t>接合金物最小断面間距離 d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k </t>
    </r>
    <r>
      <rPr>
        <sz val="9"/>
        <color theme="1"/>
        <rFont val="ＭＳ Ｐゴシック"/>
        <family val="3"/>
        <charset val="128"/>
        <scheme val="minor"/>
      </rPr>
      <t>(mm)</t>
    </r>
    <rPh sb="0" eb="4">
      <t>セツゴウカナモノ</t>
    </rPh>
    <rPh sb="4" eb="11">
      <t>サイショウダンメンカンキョリ</t>
    </rPh>
    <phoneticPr fontId="1"/>
  </si>
  <si>
    <r>
      <t>柱フランジ補強板板厚t</t>
    </r>
    <r>
      <rPr>
        <vertAlign val="subscript"/>
        <sz val="14"/>
        <color theme="1"/>
        <rFont val="ＭＳ Ｐゴシック"/>
        <family val="3"/>
        <charset val="128"/>
        <scheme val="minor"/>
      </rPr>
      <t>cfr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5" eb="8">
      <t>ホキョウバン</t>
    </rPh>
    <rPh sb="8" eb="10">
      <t>イタアツ</t>
    </rPh>
    <phoneticPr fontId="1"/>
  </si>
  <si>
    <r>
      <t>柱ウェブ補強板板厚t</t>
    </r>
    <r>
      <rPr>
        <vertAlign val="subscript"/>
        <sz val="14"/>
        <color theme="1"/>
        <rFont val="ＭＳ Ｐゴシック"/>
        <family val="3"/>
        <charset val="128"/>
        <scheme val="minor"/>
      </rPr>
      <t>cwr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4" eb="6">
      <t>ホキョウバン</t>
    </rPh>
    <rPh sb="6" eb="7">
      <t>イタ</t>
    </rPh>
    <rPh sb="7" eb="9">
      <t>イタアツ</t>
    </rPh>
    <phoneticPr fontId="1"/>
  </si>
  <si>
    <t>パネルの判定</t>
    <rPh sb="4" eb="6">
      <t>ハンテイ</t>
    </rPh>
    <phoneticPr fontId="1"/>
  </si>
  <si>
    <t>接合部パネル材の軸力比 n</t>
    <rPh sb="0" eb="3">
      <t>セツゴウブ</t>
    </rPh>
    <rPh sb="6" eb="7">
      <t>ザイ</t>
    </rPh>
    <rPh sb="8" eb="11">
      <t>ジクリョクヒ</t>
    </rPh>
    <phoneticPr fontId="1"/>
  </si>
  <si>
    <t>せん断に関する形状係数 κ</t>
    <rPh sb="2" eb="3">
      <t>ダン</t>
    </rPh>
    <rPh sb="4" eb="5">
      <t>カン</t>
    </rPh>
    <rPh sb="7" eb="11">
      <t>ケイジョウケイスウ</t>
    </rPh>
    <phoneticPr fontId="1"/>
  </si>
  <si>
    <t>許容応力度
計算時</t>
    <rPh sb="0" eb="5">
      <t>キョヨウオウリョクド</t>
    </rPh>
    <rPh sb="6" eb="9">
      <t>ケイサンジ</t>
    </rPh>
    <phoneticPr fontId="1"/>
  </si>
  <si>
    <t>全塑性耐力
の判定</t>
    <rPh sb="0" eb="3">
      <t>ゼンソセイ</t>
    </rPh>
    <rPh sb="3" eb="5">
      <t>タイリョク</t>
    </rPh>
    <rPh sb="7" eb="9">
      <t>ハンテイ</t>
    </rPh>
    <phoneticPr fontId="1"/>
  </si>
  <si>
    <t>金物軸力</t>
    <rPh sb="0" eb="2">
      <t>カナモノ</t>
    </rPh>
    <rPh sb="2" eb="4">
      <t>ジクリョク</t>
    </rPh>
    <phoneticPr fontId="9"/>
  </si>
  <si>
    <t>ボルト※一面せん断</t>
    <rPh sb="4" eb="6">
      <t>イチメン</t>
    </rPh>
    <rPh sb="8" eb="9">
      <t>ダン</t>
    </rPh>
    <phoneticPr fontId="9"/>
  </si>
  <si>
    <t>柱ウェブ補強板有効幅</t>
    <rPh sb="0" eb="1">
      <t>ハシラ</t>
    </rPh>
    <rPh sb="4" eb="10">
      <t>ホキョウバンユウコウハバ</t>
    </rPh>
    <phoneticPr fontId="9"/>
  </si>
  <si>
    <t>長期</t>
    <rPh sb="0" eb="2">
      <t>チョウキ</t>
    </rPh>
    <phoneticPr fontId="9"/>
  </si>
  <si>
    <t>短期</t>
    <rPh sb="0" eb="2">
      <t>タンキ</t>
    </rPh>
    <phoneticPr fontId="9"/>
  </si>
  <si>
    <t>保有時</t>
    <rPh sb="0" eb="2">
      <t>ホユウ</t>
    </rPh>
    <rPh sb="2" eb="3">
      <t>ジ</t>
    </rPh>
    <phoneticPr fontId="9"/>
  </si>
  <si>
    <t>保有</t>
    <rPh sb="0" eb="2">
      <t>ホユウ</t>
    </rPh>
    <phoneticPr fontId="9"/>
  </si>
  <si>
    <t>header</t>
    <phoneticPr fontId="9"/>
  </si>
  <si>
    <t>必要ボルト</t>
    <rPh sb="0" eb="2">
      <t>ヒツヨウ</t>
    </rPh>
    <phoneticPr fontId="9"/>
  </si>
  <si>
    <t>C400-N16-4M22</t>
  </si>
  <si>
    <t>M20</t>
    <phoneticPr fontId="9"/>
  </si>
  <si>
    <t>C400-R22-6M22</t>
  </si>
  <si>
    <t>M22</t>
    <phoneticPr fontId="9"/>
  </si>
  <si>
    <t>SH400</t>
    <phoneticPr fontId="9"/>
  </si>
  <si>
    <t>C400-N22-6M22</t>
  </si>
  <si>
    <t>C400-R25-6M22</t>
  </si>
  <si>
    <t>C400-N25-6M22</t>
  </si>
  <si>
    <t>M22</t>
  </si>
  <si>
    <t>C400-R28-6M24</t>
  </si>
  <si>
    <t>M24</t>
  </si>
  <si>
    <t>C490-N16-4M22</t>
  </si>
  <si>
    <t>SH490</t>
    <phoneticPr fontId="9"/>
  </si>
  <si>
    <t>C490-N19-6M20</t>
  </si>
  <si>
    <t>M20</t>
  </si>
  <si>
    <t>C490-R22-6M22</t>
  </si>
  <si>
    <t>C490-N22-6M22</t>
  </si>
  <si>
    <t>C490-R28-6M24</t>
  </si>
  <si>
    <t>C490-R32-6M24</t>
  </si>
  <si>
    <t>シヤープレート</t>
    <phoneticPr fontId="9"/>
  </si>
  <si>
    <t>hearder</t>
    <phoneticPr fontId="9"/>
  </si>
  <si>
    <t>tk</t>
    <phoneticPr fontId="9"/>
  </si>
  <si>
    <t>hk</t>
    <phoneticPr fontId="9"/>
  </si>
  <si>
    <t>b1</t>
    <phoneticPr fontId="9"/>
  </si>
  <si>
    <t>hole</t>
    <phoneticPr fontId="9"/>
  </si>
  <si>
    <t>header</t>
    <phoneticPr fontId="9"/>
  </si>
  <si>
    <t>σy</t>
    <phoneticPr fontId="9"/>
  </si>
  <si>
    <t>σu</t>
    <phoneticPr fontId="9"/>
  </si>
  <si>
    <t>sQl</t>
    <phoneticPr fontId="9"/>
  </si>
  <si>
    <t>sQs</t>
    <phoneticPr fontId="9"/>
  </si>
  <si>
    <t>sQu</t>
    <phoneticPr fontId="9"/>
  </si>
  <si>
    <t>bx2</t>
    <phoneticPr fontId="9"/>
  </si>
  <si>
    <t>nbolt</t>
    <phoneticPr fontId="9"/>
  </si>
  <si>
    <t>b</t>
    <phoneticPr fontId="9"/>
  </si>
  <si>
    <t>M22</t>
    <phoneticPr fontId="9"/>
  </si>
  <si>
    <t>SH400</t>
    <phoneticPr fontId="9"/>
  </si>
  <si>
    <t>SH490</t>
    <phoneticPr fontId="9"/>
  </si>
  <si>
    <t>溶接サイズ、のど厚情報</t>
    <rPh sb="0" eb="2">
      <t>ヨウセツ</t>
    </rPh>
    <rPh sb="8" eb="9">
      <t>アツ</t>
    </rPh>
    <rPh sb="9" eb="11">
      <t>ジョウホウ</t>
    </rPh>
    <phoneticPr fontId="9"/>
  </si>
  <si>
    <t>シヤープレート・トッププレートの異形隅肉溶接</t>
    <rPh sb="16" eb="18">
      <t>イケイ</t>
    </rPh>
    <rPh sb="18" eb="20">
      <t>スミニク</t>
    </rPh>
    <rPh sb="20" eb="22">
      <t>ヨウセツ</t>
    </rPh>
    <phoneticPr fontId="9"/>
  </si>
  <si>
    <t>T(mm)</t>
    <phoneticPr fontId="9"/>
  </si>
  <si>
    <t>S(mm)</t>
    <phoneticPr fontId="9"/>
  </si>
  <si>
    <t>a(mm)</t>
    <phoneticPr fontId="9"/>
  </si>
  <si>
    <t>柱補強板の隅肉溶接</t>
    <rPh sb="0" eb="4">
      <t>ハシラホキョウバン</t>
    </rPh>
    <rPh sb="5" eb="9">
      <t>スミニクヨウセツ</t>
    </rPh>
    <phoneticPr fontId="9"/>
  </si>
  <si>
    <t>T(mm)</t>
    <phoneticPr fontId="9"/>
  </si>
  <si>
    <t>S(mm)</t>
    <phoneticPr fontId="9"/>
  </si>
  <si>
    <t>a(mm)</t>
    <phoneticPr fontId="9"/>
  </si>
  <si>
    <t>使用材料情報</t>
    <rPh sb="0" eb="6">
      <t>シヨウザイリョウジョウホウ</t>
    </rPh>
    <phoneticPr fontId="9"/>
  </si>
  <si>
    <t>長期</t>
  </si>
  <si>
    <t>短期</t>
  </si>
  <si>
    <t>シアプレート情報</t>
    <rPh sb="6" eb="8">
      <t>ジョウホウ</t>
    </rPh>
    <phoneticPr fontId="9"/>
  </si>
  <si>
    <t>※ボルト径は接合金物の型番によって決定します。</t>
    <rPh sb="4" eb="5">
      <t>ケイ</t>
    </rPh>
    <rPh sb="6" eb="10">
      <t>セツゴウカナモノ</t>
    </rPh>
    <rPh sb="11" eb="13">
      <t>カタバン</t>
    </rPh>
    <rPh sb="17" eb="19">
      <t>ケッテイ</t>
    </rPh>
    <phoneticPr fontId="9"/>
  </si>
  <si>
    <t>強度区分</t>
    <rPh sb="0" eb="4">
      <t>キョウドクブン</t>
    </rPh>
    <phoneticPr fontId="9"/>
  </si>
  <si>
    <t>ts</t>
    <phoneticPr fontId="9"/>
  </si>
  <si>
    <t>1列のボルト数</t>
    <rPh sb="1" eb="2">
      <t>レツ</t>
    </rPh>
    <rPh sb="6" eb="7">
      <t>スウ</t>
    </rPh>
    <phoneticPr fontId="9"/>
  </si>
  <si>
    <t>列数</t>
    <rPh sb="0" eb="2">
      <t>レツスウ</t>
    </rPh>
    <phoneticPr fontId="9"/>
  </si>
  <si>
    <t>ボルト径</t>
    <rPh sb="3" eb="4">
      <t>ケイ</t>
    </rPh>
    <phoneticPr fontId="9"/>
  </si>
  <si>
    <t>ボルトピッチp</t>
    <phoneticPr fontId="9"/>
  </si>
  <si>
    <t>SH400</t>
    <phoneticPr fontId="9"/>
  </si>
  <si>
    <t>M20</t>
    <phoneticPr fontId="9"/>
  </si>
  <si>
    <t>SH490</t>
    <phoneticPr fontId="9"/>
  </si>
  <si>
    <t>M22</t>
    <phoneticPr fontId="9"/>
  </si>
  <si>
    <t>M24</t>
    <phoneticPr fontId="9"/>
  </si>
  <si>
    <t>溶接</t>
    <rPh sb="0" eb="2">
      <t>ヨウセツ</t>
    </rPh>
    <phoneticPr fontId="1"/>
  </si>
  <si>
    <t>B2</t>
    <phoneticPr fontId="9"/>
  </si>
  <si>
    <t>B1</t>
    <phoneticPr fontId="9"/>
  </si>
  <si>
    <t>板厚(mm)</t>
    <rPh sb="0" eb="2">
      <t>イタアツ</t>
    </rPh>
    <phoneticPr fontId="1"/>
  </si>
  <si>
    <t>ダブラープレート</t>
    <phoneticPr fontId="1"/>
  </si>
  <si>
    <t>梁せい (mm)</t>
    <rPh sb="0" eb="1">
      <t>ハリ</t>
    </rPh>
    <phoneticPr fontId="1"/>
  </si>
  <si>
    <t>警告</t>
  </si>
  <si>
    <t>隅肉</t>
  </si>
  <si>
    <r>
      <t>左右接合金物内々間距離 l</t>
    </r>
    <r>
      <rPr>
        <vertAlign val="subscript"/>
        <sz val="14"/>
        <color theme="1"/>
        <rFont val="ＭＳ Ｐゴシック"/>
        <family val="3"/>
        <charset val="128"/>
        <scheme val="minor"/>
      </rPr>
      <t>we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6">
      <t>サユウセツゴウカナモノ</t>
    </rPh>
    <rPh sb="6" eb="9">
      <t>ナイナイカン</t>
    </rPh>
    <rPh sb="9" eb="11">
      <t>キョリ</t>
    </rPh>
    <phoneticPr fontId="1"/>
  </si>
  <si>
    <r>
      <t>右側梁曲げモーメント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R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2">
      <t>ミギガワ</t>
    </rPh>
    <rPh sb="2" eb="4">
      <t>ハリマ</t>
    </rPh>
    <phoneticPr fontId="1"/>
  </si>
  <si>
    <r>
      <t>左側梁曲げモーメント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L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2">
      <t>ヒダリガワ</t>
    </rPh>
    <rPh sb="2" eb="4">
      <t>ハリマ</t>
    </rPh>
    <phoneticPr fontId="1"/>
  </si>
  <si>
    <r>
      <t>上側柱せん断力 cQ</t>
    </r>
    <r>
      <rPr>
        <vertAlign val="subscript"/>
        <sz val="14"/>
        <color theme="1"/>
        <rFont val="ＭＳ Ｐゴシック"/>
        <family val="3"/>
        <charset val="128"/>
        <scheme val="minor"/>
      </rPr>
      <t>U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ウエガワ</t>
    </rPh>
    <rPh sb="2" eb="3">
      <t>ハシラ</t>
    </rPh>
    <rPh sb="5" eb="7">
      <t>ダンリョク</t>
    </rPh>
    <phoneticPr fontId="1"/>
  </si>
  <si>
    <r>
      <t>上側柱軸力 cN</t>
    </r>
    <r>
      <rPr>
        <vertAlign val="subscript"/>
        <sz val="14"/>
        <color theme="1"/>
        <rFont val="ＭＳ Ｐゴシック"/>
        <family val="3"/>
        <charset val="128"/>
        <scheme val="minor"/>
      </rPr>
      <t>U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ウエガワ</t>
    </rPh>
    <rPh sb="2" eb="3">
      <t>ハシラ</t>
    </rPh>
    <rPh sb="3" eb="5">
      <t>ジクリョク</t>
    </rPh>
    <phoneticPr fontId="1"/>
  </si>
  <si>
    <r>
      <t>下側柱せん断力 cQ</t>
    </r>
    <r>
      <rPr>
        <vertAlign val="subscript"/>
        <sz val="14"/>
        <color theme="1"/>
        <rFont val="ＭＳ Ｐゴシック"/>
        <family val="3"/>
        <charset val="128"/>
        <scheme val="minor"/>
      </rPr>
      <t>L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シタガワ</t>
    </rPh>
    <rPh sb="2" eb="3">
      <t>ハシラ</t>
    </rPh>
    <rPh sb="5" eb="7">
      <t>ダンリョク</t>
    </rPh>
    <phoneticPr fontId="1"/>
  </si>
  <si>
    <r>
      <t>下側柱軸力 cN</t>
    </r>
    <r>
      <rPr>
        <vertAlign val="subscript"/>
        <sz val="14"/>
        <color theme="1"/>
        <rFont val="ＭＳ Ｐゴシック"/>
        <family val="3"/>
        <charset val="128"/>
        <scheme val="minor"/>
      </rPr>
      <t>L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シタガワ</t>
    </rPh>
    <rPh sb="2" eb="3">
      <t>ハシラ</t>
    </rPh>
    <rPh sb="3" eb="5">
      <t>ジクリョク</t>
    </rPh>
    <phoneticPr fontId="1"/>
  </si>
  <si>
    <r>
      <t>接合金物板厚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k1 </t>
    </r>
    <r>
      <rPr>
        <sz val="9"/>
        <color theme="1"/>
        <rFont val="ＭＳ Ｐゴシック"/>
        <family val="3"/>
        <charset val="128"/>
        <scheme val="minor"/>
      </rPr>
      <t>(mm)</t>
    </r>
    <rPh sb="0" eb="4">
      <t>セツゴウカナモノ</t>
    </rPh>
    <rPh sb="4" eb="6">
      <t>イタアツ</t>
    </rPh>
    <phoneticPr fontId="1"/>
  </si>
  <si>
    <r>
      <t>柱フランジ板厚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cf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5" eb="7">
      <t>イタアツ</t>
    </rPh>
    <phoneticPr fontId="1"/>
  </si>
  <si>
    <r>
      <t>柱フランジ幅 B</t>
    </r>
    <r>
      <rPr>
        <vertAlign val="subscript"/>
        <sz val="14"/>
        <color theme="1"/>
        <rFont val="ＭＳ Ｐゴシック"/>
        <family val="3"/>
        <charset val="128"/>
        <scheme val="minor"/>
      </rPr>
      <t>c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5" eb="6">
      <t>ハバ</t>
    </rPh>
    <phoneticPr fontId="1"/>
  </si>
  <si>
    <r>
      <t>柱フランジ補強板厚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cfr</t>
    </r>
    <r>
      <rPr>
        <vertAlign val="subscript"/>
        <sz val="9"/>
        <color theme="1"/>
        <rFont val="ＭＳ Ｐゴシック"/>
        <family val="3"/>
        <charset val="128"/>
        <scheme val="minor"/>
      </rPr>
      <t xml:space="preserve"> </t>
    </r>
    <r>
      <rPr>
        <sz val="9"/>
        <color theme="1"/>
        <rFont val="ＭＳ Ｐゴシック"/>
        <family val="3"/>
        <charset val="128"/>
        <scheme val="minor"/>
      </rPr>
      <t>(mm)</t>
    </r>
    <rPh sb="0" eb="1">
      <t>ハシラ</t>
    </rPh>
    <rPh sb="5" eb="7">
      <t>ホキョウバン</t>
    </rPh>
    <rPh sb="7" eb="9">
      <t>イタアツ</t>
    </rPh>
    <phoneticPr fontId="1"/>
  </si>
  <si>
    <r>
      <t>判定 A</t>
    </r>
    <r>
      <rPr>
        <vertAlign val="subscript"/>
        <sz val="14"/>
        <color theme="1"/>
        <rFont val="ＭＳ Ｐゴシック"/>
        <family val="3"/>
        <charset val="128"/>
        <scheme val="minor"/>
      </rPr>
      <t>d</t>
    </r>
    <r>
      <rPr>
        <sz val="9"/>
        <color theme="1"/>
        <rFont val="ＭＳ Ｐゴシック"/>
        <family val="3"/>
        <charset val="128"/>
        <scheme val="minor"/>
      </rPr>
      <t>&lt;min {A</t>
    </r>
    <r>
      <rPr>
        <vertAlign val="subscript"/>
        <sz val="14"/>
        <color theme="1"/>
        <rFont val="ＭＳ Ｐゴシック"/>
        <family val="3"/>
        <charset val="128"/>
        <scheme val="minor"/>
      </rPr>
      <t>cfe</t>
    </r>
    <r>
      <rPr>
        <sz val="9"/>
        <color theme="1"/>
        <rFont val="ＭＳ Ｐゴシック"/>
        <family val="3"/>
        <charset val="128"/>
        <scheme val="minor"/>
      </rPr>
      <t xml:space="preserve"> ,A</t>
    </r>
    <r>
      <rPr>
        <vertAlign val="subscript"/>
        <sz val="14"/>
        <color theme="1"/>
        <rFont val="ＭＳ Ｐゴシック"/>
        <family val="3"/>
        <charset val="128"/>
        <scheme val="minor"/>
      </rPr>
      <t>wcf</t>
    </r>
    <r>
      <rPr>
        <sz val="9"/>
        <color theme="1"/>
        <rFont val="ＭＳ Ｐゴシック"/>
        <family val="3"/>
        <charset val="128"/>
        <scheme val="minor"/>
      </rPr>
      <t>/√3 }</t>
    </r>
    <phoneticPr fontId="1"/>
  </si>
  <si>
    <r>
      <t>左右接合金物内々間距離 l</t>
    </r>
    <r>
      <rPr>
        <vertAlign val="subscript"/>
        <sz val="14"/>
        <color theme="1"/>
        <rFont val="ＭＳ Ｐゴシック"/>
        <family val="3"/>
        <charset val="128"/>
        <scheme val="minor"/>
      </rPr>
      <t>we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6">
      <t>サユウセツゴウカナモノカン</t>
    </rPh>
    <rPh sb="6" eb="9">
      <t>ナイナイカン</t>
    </rPh>
    <rPh sb="9" eb="11">
      <t>キョリ</t>
    </rPh>
    <phoneticPr fontId="1"/>
  </si>
  <si>
    <r>
      <t>柱ウェブ板厚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cw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4" eb="6">
      <t>イタアツ</t>
    </rPh>
    <phoneticPr fontId="1"/>
  </si>
  <si>
    <r>
      <t>長期接合金物軸力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k</t>
    </r>
    <r>
      <rPr>
        <sz val="9"/>
        <color theme="1"/>
        <rFont val="ＭＳ Ｐゴシック"/>
        <family val="3"/>
        <charset val="128"/>
        <scheme val="minor"/>
      </rPr>
      <t>P (kN)</t>
    </r>
    <rPh sb="0" eb="6">
      <t>チョウキセツゴウカナモノ</t>
    </rPh>
    <rPh sb="6" eb="8">
      <t>ジクリョク</t>
    </rPh>
    <phoneticPr fontId="1"/>
  </si>
  <si>
    <r>
      <t>A</t>
    </r>
    <r>
      <rPr>
        <vertAlign val="subscript"/>
        <sz val="14"/>
        <color theme="1"/>
        <rFont val="ＭＳ Ｐゴシック"/>
        <family val="3"/>
        <charset val="128"/>
        <scheme val="minor"/>
      </rPr>
      <t>cwrj</t>
    </r>
    <r>
      <rPr>
        <sz val="9"/>
        <color theme="1"/>
        <rFont val="ＭＳ Ｐゴシック"/>
        <family val="3"/>
        <charset val="128"/>
        <scheme val="minor"/>
      </rPr>
      <t>・f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t </t>
    </r>
    <r>
      <rPr>
        <sz val="9"/>
        <color theme="1"/>
        <rFont val="ＭＳ Ｐゴシック"/>
        <family val="3"/>
        <charset val="128"/>
        <scheme val="minor"/>
      </rPr>
      <t>(kN)</t>
    </r>
    <phoneticPr fontId="1"/>
  </si>
  <si>
    <r>
      <t>A</t>
    </r>
    <r>
      <rPr>
        <vertAlign val="subscript"/>
        <sz val="14"/>
        <color theme="1"/>
        <rFont val="ＭＳ Ｐゴシック"/>
        <family val="3"/>
        <charset val="128"/>
        <scheme val="minor"/>
      </rPr>
      <t>cwri</t>
    </r>
    <r>
      <rPr>
        <sz val="9"/>
        <color theme="1"/>
        <rFont val="ＭＳ Ｐゴシック"/>
        <family val="3"/>
        <charset val="128"/>
        <scheme val="minor"/>
      </rPr>
      <t>・f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c </t>
    </r>
    <r>
      <rPr>
        <sz val="9"/>
        <color theme="1"/>
        <rFont val="ＭＳ Ｐゴシック"/>
        <family val="3"/>
        <charset val="128"/>
        <scheme val="minor"/>
      </rPr>
      <t>(kN)</t>
    </r>
    <phoneticPr fontId="1"/>
  </si>
  <si>
    <r>
      <t>判定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k</t>
    </r>
    <r>
      <rPr>
        <sz val="9"/>
        <color theme="1"/>
        <rFont val="ＭＳ Ｐゴシック"/>
        <family val="3"/>
        <charset val="128"/>
        <scheme val="minor"/>
      </rPr>
      <t>P&lt;min {A</t>
    </r>
    <r>
      <rPr>
        <vertAlign val="subscript"/>
        <sz val="14"/>
        <color theme="1"/>
        <rFont val="ＭＳ Ｐゴシック"/>
        <family val="3"/>
        <charset val="128"/>
        <scheme val="minor"/>
      </rPr>
      <t>cwrj</t>
    </r>
    <r>
      <rPr>
        <sz val="9"/>
        <color theme="1"/>
        <rFont val="ＭＳ Ｐゴシック"/>
        <family val="3"/>
        <charset val="128"/>
        <scheme val="minor"/>
      </rPr>
      <t>・f</t>
    </r>
    <r>
      <rPr>
        <vertAlign val="subscript"/>
        <sz val="14"/>
        <color theme="1"/>
        <rFont val="ＭＳ Ｐゴシック"/>
        <family val="3"/>
        <charset val="128"/>
        <scheme val="minor"/>
      </rPr>
      <t>t</t>
    </r>
    <r>
      <rPr>
        <sz val="9"/>
        <color theme="1"/>
        <rFont val="ＭＳ Ｐゴシック"/>
        <family val="3"/>
        <charset val="128"/>
        <scheme val="minor"/>
      </rPr>
      <t>,A</t>
    </r>
    <r>
      <rPr>
        <vertAlign val="subscript"/>
        <sz val="14"/>
        <color theme="1"/>
        <rFont val="ＭＳ Ｐゴシック"/>
        <family val="3"/>
        <charset val="128"/>
        <scheme val="minor"/>
      </rPr>
      <t>cwri</t>
    </r>
    <r>
      <rPr>
        <sz val="9"/>
        <color theme="1"/>
        <rFont val="ＭＳ Ｐゴシック"/>
        <family val="3"/>
        <charset val="128"/>
        <scheme val="minor"/>
      </rPr>
      <t>・f</t>
    </r>
    <r>
      <rPr>
        <vertAlign val="subscript"/>
        <sz val="14"/>
        <color theme="1"/>
        <rFont val="ＭＳ Ｐゴシック"/>
        <family val="3"/>
        <charset val="128"/>
        <scheme val="minor"/>
      </rPr>
      <t>c</t>
    </r>
    <r>
      <rPr>
        <sz val="9"/>
        <color theme="1"/>
        <rFont val="ＭＳ Ｐゴシック"/>
        <family val="3"/>
        <charset val="128"/>
        <scheme val="minor"/>
      </rPr>
      <t>}</t>
    </r>
    <rPh sb="0" eb="2">
      <t>ハンテイ</t>
    </rPh>
    <phoneticPr fontId="1"/>
  </si>
  <si>
    <r>
      <t>接合部パネルモーメント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p</t>
    </r>
    <r>
      <rPr>
        <sz val="9"/>
        <color theme="1"/>
        <rFont val="ＭＳ Ｐゴシック"/>
        <family val="3"/>
        <charset val="128"/>
        <scheme val="minor"/>
      </rPr>
      <t>M (kN・m)</t>
    </r>
    <rPh sb="0" eb="3">
      <t>セツゴウブ</t>
    </rPh>
    <phoneticPr fontId="1"/>
  </si>
  <si>
    <r>
      <t xml:space="preserve">接合部許容曲げ耐力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y1</t>
    </r>
    <r>
      <rPr>
        <sz val="9"/>
        <color theme="1"/>
        <rFont val="ＭＳ Ｐゴシック"/>
        <family val="3"/>
        <charset val="128"/>
        <scheme val="minor"/>
      </rPr>
      <t xml:space="preserve"> (kN・m)</t>
    </r>
    <rPh sb="0" eb="3">
      <t>セツゴウブ</t>
    </rPh>
    <rPh sb="3" eb="6">
      <t>キョヨウマ</t>
    </rPh>
    <rPh sb="7" eb="9">
      <t>タイリョク</t>
    </rPh>
    <phoneticPr fontId="1"/>
  </si>
  <si>
    <r>
      <t xml:space="preserve">判定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y1</t>
    </r>
    <r>
      <rPr>
        <sz val="9"/>
        <color theme="1"/>
        <rFont val="ＭＳ Ｐゴシック"/>
        <family val="3"/>
        <charset val="128"/>
        <scheme val="minor"/>
      </rPr>
      <t>&gt;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Ph sb="0" eb="2">
      <t>ハンテイ</t>
    </rPh>
    <phoneticPr fontId="1"/>
  </si>
  <si>
    <r>
      <t>軸力による低減係数 α</t>
    </r>
    <r>
      <rPr>
        <vertAlign val="subscript"/>
        <sz val="14"/>
        <color theme="1"/>
        <rFont val="ＭＳ Ｐゴシック"/>
        <family val="3"/>
        <charset val="128"/>
        <scheme val="minor"/>
      </rPr>
      <t>n</t>
    </r>
    <rPh sb="0" eb="2">
      <t>ジクリョク</t>
    </rPh>
    <rPh sb="5" eb="9">
      <t>テイゲンケイスウ</t>
    </rPh>
    <phoneticPr fontId="1"/>
  </si>
  <si>
    <r>
      <t xml:space="preserve">判定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&gt;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Ph sb="0" eb="2">
      <t>ハンテイ</t>
    </rPh>
    <phoneticPr fontId="1"/>
  </si>
  <si>
    <r>
      <t xml:space="preserve">梁の全塑性耐力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1">
      <t>ハリ</t>
    </rPh>
    <rPh sb="2" eb="5">
      <t>ゼンソセイ</t>
    </rPh>
    <rPh sb="5" eb="7">
      <t>タイリョク</t>
    </rPh>
    <phoneticPr fontId="1"/>
  </si>
  <si>
    <r>
      <t xml:space="preserve">柱の全塑性耐力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c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pc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1">
      <t>ハシラ</t>
    </rPh>
    <rPh sb="2" eb="5">
      <t>ゼンソセイ</t>
    </rPh>
    <rPh sb="5" eb="7">
      <t>タイリョク</t>
    </rPh>
    <phoneticPr fontId="1"/>
  </si>
  <si>
    <r>
      <t xml:space="preserve">パネルの全塑性耐力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4" eb="7">
      <t>ゼンソセイ</t>
    </rPh>
    <rPh sb="7" eb="9">
      <t>タイリョク</t>
    </rPh>
    <phoneticPr fontId="1"/>
  </si>
  <si>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 xml:space="preserve"> /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phoneticPr fontId="1"/>
  </si>
  <si>
    <r>
      <rPr>
        <vertAlign val="subscript"/>
        <sz val="14"/>
        <color theme="1"/>
        <rFont val="ＭＳ Ｐゴシック"/>
        <family val="3"/>
        <charset val="128"/>
        <scheme val="major"/>
      </rPr>
      <t>c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pc</t>
    </r>
    <r>
      <rPr>
        <sz val="9"/>
        <color theme="1"/>
        <rFont val="ＭＳ Ｐゴシック"/>
        <family val="3"/>
        <charset val="128"/>
        <scheme val="minor"/>
      </rPr>
      <t xml:space="preserve"> /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phoneticPr fontId="1"/>
  </si>
  <si>
    <t>ヒンジ位置の検討</t>
    <rPh sb="3" eb="5">
      <t>イチ</t>
    </rPh>
    <rPh sb="6" eb="8">
      <t>ケントウ</t>
    </rPh>
    <phoneticPr fontId="1"/>
  </si>
  <si>
    <t>SS400</t>
  </si>
  <si>
    <r>
      <t>J断面断面積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cwrj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1" eb="3">
      <t>ダンメン</t>
    </rPh>
    <rPh sb="3" eb="6">
      <t>ダンメンセキ</t>
    </rPh>
    <phoneticPr fontId="1"/>
  </si>
  <si>
    <r>
      <t>I断面断面積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cwri </t>
    </r>
    <r>
      <rPr>
        <sz val="9"/>
        <color theme="1"/>
        <rFont val="ＭＳ Ｐゴシック"/>
        <family val="3"/>
        <charset val="128"/>
        <scheme val="minor"/>
      </rPr>
      <t>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1" eb="6">
      <t>ダンメンダンメンセキ</t>
    </rPh>
    <phoneticPr fontId="1"/>
  </si>
  <si>
    <r>
      <t>接合部パネル有効体積 V</t>
    </r>
    <r>
      <rPr>
        <vertAlign val="subscript"/>
        <sz val="14"/>
        <color theme="1"/>
        <rFont val="ＭＳ Ｐゴシック"/>
        <family val="3"/>
        <charset val="128"/>
        <scheme val="minor"/>
      </rPr>
      <t>e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3</t>
    </r>
    <r>
      <rPr>
        <sz val="9"/>
        <color theme="1"/>
        <rFont val="ＭＳ Ｐゴシック"/>
        <family val="3"/>
        <charset val="128"/>
        <scheme val="minor"/>
      </rPr>
      <t>)</t>
    </r>
    <rPh sb="0" eb="3">
      <t>セツゴウブ</t>
    </rPh>
    <rPh sb="6" eb="10">
      <t>ユウコウタイセキ</t>
    </rPh>
    <phoneticPr fontId="1"/>
  </si>
  <si>
    <r>
      <t>貫通孔欠損断面積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d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8">
      <t>カンツウコウケッソンダンメンセキ</t>
    </rPh>
    <phoneticPr fontId="1"/>
  </si>
  <si>
    <r>
      <t>補強板有効断面積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cfe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3">
      <t>ホキョウバン</t>
    </rPh>
    <rPh sb="3" eb="8">
      <t>ユウコウダンメンセキ</t>
    </rPh>
    <phoneticPr fontId="1"/>
  </si>
  <si>
    <r>
      <t>溶接のど厚断面積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wcf</t>
    </r>
    <r>
      <rPr>
        <sz val="8.5"/>
        <color theme="1"/>
        <rFont val="ＭＳ Ｐゴシック"/>
        <family val="3"/>
        <charset val="128"/>
        <scheme val="minor"/>
      </rPr>
      <t>/√3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8.5"/>
        <color theme="1"/>
        <rFont val="ＭＳ Ｐゴシック"/>
        <family val="3"/>
        <charset val="128"/>
        <scheme val="minor"/>
      </rPr>
      <t>)</t>
    </r>
    <rPh sb="0" eb="2">
      <t>ヨウセツ</t>
    </rPh>
    <rPh sb="4" eb="5">
      <t>アツ</t>
    </rPh>
    <rPh sb="5" eb="8">
      <t>ダンメンセキ</t>
    </rPh>
    <phoneticPr fontId="1"/>
  </si>
  <si>
    <r>
      <t>補強板厚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cwr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3">
      <t>ホキョウイタ</t>
    </rPh>
    <rPh sb="3" eb="4">
      <t>アツ</t>
    </rPh>
    <phoneticPr fontId="1"/>
  </si>
  <si>
    <r>
      <t>補強板有効断面積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cwr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3">
      <t>ホキョウバン</t>
    </rPh>
    <rPh sb="3" eb="8">
      <t>ユウコウダンメンセキ</t>
    </rPh>
    <phoneticPr fontId="1"/>
  </si>
  <si>
    <r>
      <t>孔欠損断面積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cwrd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1">
      <t>アナ</t>
    </rPh>
    <rPh sb="1" eb="6">
      <t>カンツウコウケッソンダンメンセキ</t>
    </rPh>
    <phoneticPr fontId="1"/>
  </si>
  <si>
    <r>
      <t xml:space="preserve">パネル全塑性耐力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p </t>
    </r>
    <r>
      <rPr>
        <sz val="9"/>
        <color theme="1"/>
        <rFont val="ＭＳ Ｐゴシック"/>
        <family val="3"/>
        <charset val="128"/>
        <scheme val="minor"/>
      </rPr>
      <t>(kN・m)</t>
    </r>
    <rPh sb="3" eb="6">
      <t>ゼンソセイ</t>
    </rPh>
    <rPh sb="6" eb="8">
      <t>タイリョク</t>
    </rPh>
    <phoneticPr fontId="1"/>
  </si>
  <si>
    <r>
      <t>のど厚断面積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cwrw</t>
    </r>
    <r>
      <rPr>
        <sz val="9"/>
        <color theme="1"/>
        <rFont val="ＭＳ Ｐゴシック"/>
        <family val="3"/>
        <charset val="128"/>
        <scheme val="minor"/>
      </rPr>
      <t>/√3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2" eb="3">
      <t>アツ</t>
    </rPh>
    <rPh sb="3" eb="6">
      <t>ダンメンセキ</t>
    </rPh>
    <phoneticPr fontId="1"/>
  </si>
  <si>
    <r>
      <t>長期引張許容応力度 f</t>
    </r>
    <r>
      <rPr>
        <vertAlign val="subscript"/>
        <sz val="14"/>
        <color theme="1"/>
        <rFont val="ＭＳ Ｐゴシック"/>
        <family val="3"/>
        <charset val="128"/>
        <scheme val="minor"/>
      </rPr>
      <t>t</t>
    </r>
    <r>
      <rPr>
        <sz val="9"/>
        <color theme="1"/>
        <rFont val="ＭＳ Ｐゴシック"/>
        <family val="3"/>
        <charset val="128"/>
        <scheme val="minor"/>
      </rPr>
      <t xml:space="preserve"> (N/mm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2">
      <t>ハシラチョウキ</t>
    </rPh>
    <rPh sb="2" eb="4">
      <t>ヒッパ</t>
    </rPh>
    <rPh sb="4" eb="9">
      <t>キョヨウオウリョクド</t>
    </rPh>
    <phoneticPr fontId="1"/>
  </si>
  <si>
    <r>
      <t>長期許容圧縮応力度 f</t>
    </r>
    <r>
      <rPr>
        <vertAlign val="subscript"/>
        <sz val="14"/>
        <color theme="1"/>
        <rFont val="ＭＳ Ｐゴシック"/>
        <family val="3"/>
        <charset val="128"/>
        <scheme val="minor"/>
      </rPr>
      <t>c</t>
    </r>
    <r>
      <rPr>
        <sz val="9"/>
        <color theme="1"/>
        <rFont val="ＭＳ Ｐゴシック"/>
        <family val="3"/>
        <charset val="128"/>
        <scheme val="minor"/>
      </rPr>
      <t xml:space="preserve"> (N/mm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2">
      <t>チョウキ</t>
    </rPh>
    <rPh sb="2" eb="9">
      <t>キョヨウアッシュクオウリョクド</t>
    </rPh>
    <phoneticPr fontId="1"/>
  </si>
  <si>
    <t>SM400A</t>
  </si>
  <si>
    <t>SM400B</t>
  </si>
  <si>
    <t>SM400C</t>
  </si>
  <si>
    <t>SM400A-FR</t>
  </si>
  <si>
    <t>SM400B-FR</t>
  </si>
  <si>
    <t>SM400C-FR</t>
  </si>
  <si>
    <t>SMA400AW</t>
  </si>
  <si>
    <t>SMA400AP</t>
  </si>
  <si>
    <t>SMA400BW</t>
  </si>
  <si>
    <t>SMA400BP</t>
  </si>
  <si>
    <t>SMA400CW</t>
  </si>
  <si>
    <t>SMA400CP</t>
  </si>
  <si>
    <t>SN400A</t>
  </si>
  <si>
    <t>SN400B</t>
  </si>
  <si>
    <t>SN400C</t>
  </si>
  <si>
    <t>SN400A-FR</t>
  </si>
  <si>
    <t>SN400B-FR</t>
  </si>
  <si>
    <t>SN400C-FR</t>
  </si>
  <si>
    <t>SM490A</t>
  </si>
  <si>
    <t>SM490B</t>
  </si>
  <si>
    <t>SM490C</t>
  </si>
  <si>
    <t>SM490A-FR</t>
  </si>
  <si>
    <t>SM490B-FR</t>
  </si>
  <si>
    <t>SM490C-FR</t>
  </si>
  <si>
    <t>SMA490AW</t>
  </si>
  <si>
    <t>SMA490AP</t>
  </si>
  <si>
    <t>SMA490BW</t>
  </si>
  <si>
    <t>SMA490BP</t>
  </si>
  <si>
    <t>SMA490CW</t>
  </si>
  <si>
    <t>SMA490CP</t>
  </si>
  <si>
    <t>SN490B</t>
  </si>
  <si>
    <t>SN490C</t>
  </si>
  <si>
    <t>SN490B-FR</t>
  </si>
  <si>
    <t>SN490C-FR</t>
  </si>
  <si>
    <t>材料</t>
    <rPh sb="0" eb="2">
      <t>ザイリョウ</t>
    </rPh>
    <phoneticPr fontId="1"/>
  </si>
  <si>
    <t>400N級</t>
    <rPh sb="4" eb="5">
      <t>キュウ</t>
    </rPh>
    <phoneticPr fontId="1"/>
  </si>
  <si>
    <t>490N級</t>
    <rPh sb="4" eb="5">
      <t>キュウ</t>
    </rPh>
    <phoneticPr fontId="1"/>
  </si>
  <si>
    <t>F</t>
    <phoneticPr fontId="1"/>
  </si>
  <si>
    <t>α</t>
    <phoneticPr fontId="1"/>
  </si>
  <si>
    <t>F</t>
    <phoneticPr fontId="1"/>
  </si>
  <si>
    <t>柱の限界細長比Λ</t>
    <rPh sb="0" eb="1">
      <t>ハシラ</t>
    </rPh>
    <rPh sb="2" eb="7">
      <t>ゲンカイホソナガヒ</t>
    </rPh>
    <phoneticPr fontId="1"/>
  </si>
  <si>
    <t>正しい材質選択です</t>
    <rPh sb="0" eb="1">
      <t>タダ</t>
    </rPh>
    <rPh sb="3" eb="7">
      <t>ザイシツセンタク</t>
    </rPh>
    <phoneticPr fontId="1"/>
  </si>
  <si>
    <t>SM490</t>
    <phoneticPr fontId="1"/>
  </si>
  <si>
    <t>短期</t>
    <rPh sb="0" eb="2">
      <t>タンキ</t>
    </rPh>
    <phoneticPr fontId="1"/>
  </si>
  <si>
    <t>柱設計応力まとめ</t>
    <rPh sb="0" eb="1">
      <t>ハシラ</t>
    </rPh>
    <rPh sb="1" eb="3">
      <t>セッケイ</t>
    </rPh>
    <rPh sb="3" eb="5">
      <t>オウリョク</t>
    </rPh>
    <phoneticPr fontId="1"/>
  </si>
  <si>
    <t>柱符号</t>
    <rPh sb="0" eb="1">
      <t>ハシラ</t>
    </rPh>
    <rPh sb="1" eb="3">
      <t>フゴウ</t>
    </rPh>
    <phoneticPr fontId="1"/>
  </si>
  <si>
    <t>階</t>
  </si>
  <si>
    <t>軸</t>
  </si>
  <si>
    <t>通</t>
  </si>
  <si>
    <t>bMl(kNm)</t>
  </si>
  <si>
    <t>bMr(kNm)</t>
  </si>
  <si>
    <t>cQu(kN)</t>
  </si>
  <si>
    <t>cQd(kN)</t>
  </si>
  <si>
    <t>cNu(kN)</t>
  </si>
  <si>
    <t>cNd(kN)</t>
  </si>
  <si>
    <t>2f</t>
  </si>
  <si>
    <t>6.0</t>
  </si>
  <si>
    <t>分類</t>
    <rPh sb="0" eb="2">
      <t>ブンルイ</t>
    </rPh>
    <phoneticPr fontId="1"/>
  </si>
  <si>
    <t>荷重</t>
    <rPh sb="0" eb="2">
      <t>カジュウ</t>
    </rPh>
    <phoneticPr fontId="1"/>
  </si>
  <si>
    <t>C1X</t>
    <phoneticPr fontId="1"/>
  </si>
  <si>
    <t>pM最大</t>
    <rPh sb="2" eb="4">
      <t>サイダイ</t>
    </rPh>
    <phoneticPr fontId="1"/>
  </si>
  <si>
    <t>cN最大</t>
    <rPh sb="2" eb="4">
      <t>サイダイ</t>
    </rPh>
    <phoneticPr fontId="1"/>
  </si>
  <si>
    <t>0.0</t>
  </si>
  <si>
    <t>79.0</t>
  </si>
  <si>
    <t>78.0</t>
  </si>
  <si>
    <t>SM490A</t>
    <phoneticPr fontId="1"/>
  </si>
  <si>
    <t>C1Y</t>
    <phoneticPr fontId="1"/>
  </si>
  <si>
    <t>C1Y</t>
    <phoneticPr fontId="1"/>
  </si>
  <si>
    <t>C2Y</t>
    <phoneticPr fontId="1"/>
  </si>
  <si>
    <t>C2Y</t>
    <phoneticPr fontId="1"/>
  </si>
  <si>
    <t>pn</t>
  </si>
  <si>
    <t>p8</t>
  </si>
  <si>
    <t>93.0</t>
  </si>
  <si>
    <t>-18.0</t>
  </si>
  <si>
    <t>po</t>
  </si>
  <si>
    <t>pb</t>
  </si>
  <si>
    <t>p3</t>
  </si>
  <si>
    <t>66.0</t>
  </si>
  <si>
    <t>-2.0</t>
  </si>
  <si>
    <t>299.0</t>
  </si>
  <si>
    <t>603.0</t>
  </si>
  <si>
    <t>337.0</t>
  </si>
  <si>
    <t>-159.0</t>
  </si>
  <si>
    <t>145.0</t>
  </si>
  <si>
    <t>188.0</t>
  </si>
  <si>
    <t>329.0</t>
  </si>
  <si>
    <t>698.0</t>
  </si>
  <si>
    <t>pl</t>
  </si>
  <si>
    <t>p7</t>
  </si>
  <si>
    <t>72.0</t>
  </si>
  <si>
    <t>33.0</t>
  </si>
  <si>
    <t>18.0</t>
  </si>
  <si>
    <t>5.0</t>
  </si>
  <si>
    <t>275.0</t>
  </si>
  <si>
    <t>554.0</t>
  </si>
  <si>
    <t>pk</t>
  </si>
  <si>
    <t>288.0</t>
  </si>
  <si>
    <t>-183.0</t>
  </si>
  <si>
    <t>131.0</t>
  </si>
  <si>
    <t>169.0</t>
  </si>
  <si>
    <t>p6</t>
  </si>
  <si>
    <t>80.0</t>
  </si>
  <si>
    <t>356.0</t>
  </si>
  <si>
    <t>717.0</t>
  </si>
  <si>
    <t>292.0</t>
  </si>
  <si>
    <t>-130.0</t>
  </si>
  <si>
    <t>117.0</t>
  </si>
  <si>
    <t>144.0</t>
  </si>
  <si>
    <t>718.0</t>
  </si>
  <si>
    <t>295.0</t>
  </si>
  <si>
    <t>346.0</t>
  </si>
  <si>
    <t>pc</t>
  </si>
  <si>
    <t>28.0</t>
  </si>
  <si>
    <t>595.0</t>
  </si>
  <si>
    <t>102.0</t>
  </si>
  <si>
    <t>105.0</t>
  </si>
  <si>
    <t>324.0</t>
  </si>
  <si>
    <t>690.0</t>
  </si>
  <si>
    <t>127.0</t>
  </si>
  <si>
    <t>C1Ya</t>
    <phoneticPr fontId="1"/>
  </si>
  <si>
    <t>C1Ya</t>
    <phoneticPr fontId="1"/>
  </si>
  <si>
    <t>p1</t>
  </si>
  <si>
    <t>76.0</t>
  </si>
  <si>
    <t>34.0</t>
  </si>
  <si>
    <t>20.0</t>
  </si>
  <si>
    <t>7.0</t>
  </si>
  <si>
    <t>213.0</t>
  </si>
  <si>
    <t>254.0</t>
  </si>
  <si>
    <t>-195.0</t>
  </si>
  <si>
    <t>141.0</t>
  </si>
  <si>
    <t>196.0</t>
  </si>
  <si>
    <t>83.0</t>
  </si>
  <si>
    <t>149.0</t>
  </si>
  <si>
    <t>pe</t>
  </si>
  <si>
    <t>71.0</t>
  </si>
  <si>
    <t>2.0</t>
  </si>
  <si>
    <t>115.0</t>
  </si>
  <si>
    <t>234.0</t>
  </si>
  <si>
    <t>265.0</t>
  </si>
  <si>
    <t>-105.0</t>
  </si>
  <si>
    <t>103.0</t>
  </si>
  <si>
    <t>183.0</t>
  </si>
  <si>
    <t>279.0</t>
  </si>
  <si>
    <t>p2</t>
  </si>
  <si>
    <t>37.0</t>
  </si>
  <si>
    <t>27.0</t>
  </si>
  <si>
    <t>238.0</t>
  </si>
  <si>
    <t>478.0</t>
  </si>
  <si>
    <t>343.0</t>
  </si>
  <si>
    <t>-244.0</t>
  </si>
  <si>
    <t>181.0</t>
  </si>
  <si>
    <t>210.0</t>
  </si>
  <si>
    <t>215.0</t>
  </si>
  <si>
    <t>400.0</t>
  </si>
  <si>
    <t>46.0</t>
  </si>
  <si>
    <t>8.0</t>
  </si>
  <si>
    <t>221.0</t>
  </si>
  <si>
    <t>446.0</t>
  </si>
  <si>
    <t>107.0</t>
  </si>
  <si>
    <t>250.0</t>
  </si>
  <si>
    <t>545.0</t>
  </si>
  <si>
    <t>55.0</t>
  </si>
  <si>
    <t>317.0</t>
  </si>
  <si>
    <t>柱ウェブ部の応力判定</t>
    <rPh sb="0" eb="1">
      <t>ハシラ</t>
    </rPh>
    <rPh sb="4" eb="5">
      <t>ブ</t>
    </rPh>
    <rPh sb="6" eb="8">
      <t>オウリョク</t>
    </rPh>
    <rPh sb="8" eb="10">
      <t>ハンテイ</t>
    </rPh>
    <phoneticPr fontId="1"/>
  </si>
  <si>
    <t>C400-N19-6M22</t>
    <phoneticPr fontId="1"/>
  </si>
  <si>
    <t>OK(0.55)</t>
    <phoneticPr fontId="1"/>
  </si>
  <si>
    <t>C490-N25-6M22</t>
    <phoneticPr fontId="1"/>
  </si>
  <si>
    <t>C490-R25-6M24</t>
  </si>
  <si>
    <t>C490-R25-6M24</t>
    <phoneticPr fontId="1"/>
  </si>
  <si>
    <t>P3</t>
    <phoneticPr fontId="1"/>
  </si>
  <si>
    <t>OK(0.83)</t>
    <phoneticPr fontId="1"/>
  </si>
  <si>
    <t>OK(0.36)</t>
    <phoneticPr fontId="1"/>
  </si>
  <si>
    <t>P4</t>
    <phoneticPr fontId="1"/>
  </si>
  <si>
    <t>OK(0.73)</t>
    <phoneticPr fontId="1"/>
  </si>
  <si>
    <t>OK(0.33)</t>
    <phoneticPr fontId="1"/>
  </si>
  <si>
    <t>OK(0.34)</t>
    <phoneticPr fontId="1"/>
  </si>
  <si>
    <t>OK(0.39)</t>
    <phoneticPr fontId="1"/>
  </si>
  <si>
    <t>OK(0.25)</t>
    <phoneticPr fontId="1"/>
  </si>
  <si>
    <t>OK(0.50)</t>
    <phoneticPr fontId="1"/>
  </si>
  <si>
    <t>OK(0.91)</t>
    <phoneticPr fontId="1"/>
  </si>
  <si>
    <t>OK(0.82)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</si>
</sst>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24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.5"/>
      <color theme="1"/>
      <name val="ＭＳ Ｐゴシック"/>
      <family val="3"/>
      <charset val="128"/>
      <scheme val="minor"/>
    </font>
    <font>
      <vertAlign val="subscript"/>
      <sz val="9"/>
      <color theme="1"/>
      <name val="ＭＳ Ｐゴシック"/>
      <family val="3"/>
      <charset val="128"/>
      <scheme val="minor"/>
    </font>
    <font>
      <vertAlign val="subscript"/>
      <sz val="14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</font>
    <font>
      <sz val="9"/>
      <name val="Century"/>
      <family val="1"/>
    </font>
    <font>
      <sz val="9"/>
      <color indexed="1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vertAlign val="subscript"/>
      <sz val="14"/>
      <color theme="1"/>
      <name val="ＭＳ Ｐゴシック"/>
      <family val="3"/>
      <charset val="128"/>
      <scheme val="major"/>
    </font>
    <font>
      <sz val="9"/>
      <color theme="1"/>
      <name val="ＭＳ Ｐゴシック"/>
      <family val="3"/>
      <charset val="128"/>
      <scheme val="minor"/>
    </font>
    <font>
      <vertAlign val="superscript"/>
      <sz val="14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ajor"/>
    </font>
    <font>
      <sz val="1"/>
      <color theme="0"/>
      <name val="ＭＳ Ｐゴシック"/>
      <family val="3"/>
      <charset val="128"/>
      <scheme val="minor"/>
    </font>
    <font>
      <sz val="12"/>
      <color rgb="FF000000"/>
      <name val="ＭＳ Ｐゴシック"/>
      <family val="3"/>
      <charset val="128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9"/>
      <color rgb="FF0000FF"/>
      <name val="ＭＳ Ｐゴシック"/>
      <family val="3"/>
      <charset val="128"/>
      <scheme val="minor"/>
    </font>
    <font>
      <sz val="9"/>
      <color theme="2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8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double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ck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36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3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176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4" xfId="0" quotePrefix="1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quotePrefix="1" applyFont="1" applyFill="1" applyBorder="1" applyAlignment="1">
      <alignment horizontal="center" vertical="center"/>
    </xf>
    <xf numFmtId="0" fontId="2" fillId="3" borderId="22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0" borderId="1" xfId="0" applyFont="1" applyBorder="1"/>
    <xf numFmtId="0" fontId="17" fillId="0" borderId="0" xfId="0" applyFont="1"/>
    <xf numFmtId="0" fontId="17" fillId="0" borderId="4" xfId="0" applyFont="1" applyBorder="1" applyAlignment="1"/>
    <xf numFmtId="0" fontId="2" fillId="0" borderId="4" xfId="0" applyFont="1" applyBorder="1" applyAlignment="1"/>
    <xf numFmtId="0" fontId="2" fillId="0" borderId="0" xfId="0" applyFont="1" applyFill="1" applyAlignment="1">
      <alignment vertical="center"/>
    </xf>
    <xf numFmtId="0" fontId="18" fillId="0" borderId="0" xfId="0" applyFont="1"/>
    <xf numFmtId="0" fontId="2" fillId="0" borderId="4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68" xfId="0" applyFont="1" applyBorder="1" applyAlignment="1">
      <alignment horizontal="center"/>
    </xf>
    <xf numFmtId="0" fontId="2" fillId="0" borderId="22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2" fillId="0" borderId="7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0" fillId="0" borderId="1" xfId="0" applyFont="1" applyBorder="1"/>
    <xf numFmtId="0" fontId="21" fillId="0" borderId="1" xfId="0" applyFont="1" applyBorder="1"/>
    <xf numFmtId="0" fontId="0" fillId="0" borderId="1" xfId="0" applyBorder="1"/>
    <xf numFmtId="0" fontId="2" fillId="0" borderId="0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6" borderId="30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36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11" fillId="7" borderId="44" xfId="0" applyFont="1" applyFill="1" applyBorder="1" applyAlignment="1">
      <alignment horizontal="center" vertical="center"/>
    </xf>
    <xf numFmtId="0" fontId="22" fillId="7" borderId="45" xfId="0" applyFont="1" applyFill="1" applyBorder="1" applyAlignment="1">
      <alignment horizontal="center" vertical="center"/>
    </xf>
    <xf numFmtId="0" fontId="22" fillId="7" borderId="46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 textRotation="180"/>
    </xf>
    <xf numFmtId="0" fontId="2" fillId="0" borderId="14" xfId="0" applyFont="1" applyFill="1" applyBorder="1" applyAlignment="1">
      <alignment horizontal="center" vertical="center" textRotation="180"/>
    </xf>
    <xf numFmtId="0" fontId="2" fillId="0" borderId="18" xfId="0" applyFont="1" applyFill="1" applyBorder="1" applyAlignment="1">
      <alignment horizontal="center" vertical="center" textRotation="180"/>
    </xf>
    <xf numFmtId="0" fontId="2" fillId="0" borderId="28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66" xfId="0" applyFont="1" applyBorder="1" applyAlignment="1">
      <alignment horizontal="center" vertical="center"/>
    </xf>
    <xf numFmtId="0" fontId="2" fillId="0" borderId="67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 textRotation="180"/>
    </xf>
    <xf numFmtId="0" fontId="2" fillId="4" borderId="14" xfId="0" applyFont="1" applyFill="1" applyBorder="1" applyAlignment="1">
      <alignment horizontal="center" vertical="center" textRotation="180"/>
    </xf>
    <xf numFmtId="0" fontId="2" fillId="4" borderId="18" xfId="0" applyFont="1" applyFill="1" applyBorder="1" applyAlignment="1">
      <alignment horizontal="center" vertical="center" textRotation="180"/>
    </xf>
    <xf numFmtId="0" fontId="2" fillId="0" borderId="53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0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4" borderId="32" xfId="0" applyFont="1" applyFill="1" applyBorder="1" applyAlignment="1">
      <alignment horizontal="center" vertical="center" textRotation="180"/>
    </xf>
    <xf numFmtId="0" fontId="2" fillId="4" borderId="33" xfId="0" applyFont="1" applyFill="1" applyBorder="1" applyAlignment="1">
      <alignment horizontal="center" vertical="center" textRotation="180"/>
    </xf>
    <xf numFmtId="0" fontId="2" fillId="4" borderId="34" xfId="0" applyFont="1" applyFill="1" applyBorder="1" applyAlignment="1">
      <alignment horizontal="center" vertical="center" textRotation="180"/>
    </xf>
    <xf numFmtId="0" fontId="11" fillId="0" borderId="54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/>
    </xf>
    <xf numFmtId="0" fontId="12" fillId="0" borderId="58" xfId="0" applyFont="1" applyBorder="1" applyAlignment="1">
      <alignment horizontal="center" vertical="center"/>
    </xf>
    <xf numFmtId="0" fontId="12" fillId="0" borderId="57" xfId="0" applyFont="1" applyBorder="1" applyAlignment="1">
      <alignment horizontal="center" vertical="center"/>
    </xf>
    <xf numFmtId="0" fontId="12" fillId="0" borderId="60" xfId="0" applyFont="1" applyBorder="1" applyAlignment="1">
      <alignment horizontal="center" vertical="center"/>
    </xf>
    <xf numFmtId="0" fontId="12" fillId="0" borderId="61" xfId="0" applyFont="1" applyBorder="1" applyAlignment="1">
      <alignment horizontal="center" vertical="center"/>
    </xf>
    <xf numFmtId="0" fontId="12" fillId="0" borderId="62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 wrapText="1"/>
    </xf>
    <xf numFmtId="0" fontId="2" fillId="0" borderId="51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/>
    </xf>
    <xf numFmtId="0" fontId="2" fillId="0" borderId="79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3" fillId="2" borderId="4" xfId="0" applyFont="1" applyFill="1" applyBorder="1" applyAlignment="1">
      <alignment horizontal="center" vertical="center"/>
    </xf>
    <xf numFmtId="0" fontId="23" fillId="2" borderId="8" xfId="0" applyFont="1" applyFill="1" applyBorder="1" applyAlignment="1">
      <alignment horizontal="center" vertical="center"/>
    </xf>
    <xf numFmtId="0" fontId="23" fillId="2" borderId="39" xfId="0" applyFont="1" applyFill="1" applyBorder="1" applyAlignment="1">
      <alignment horizontal="center" vertical="center"/>
    </xf>
    <xf numFmtId="0" fontId="2" fillId="0" borderId="39" xfId="0" applyFont="1" applyBorder="1" applyAlignment="1">
      <alignment horizontal="center"/>
    </xf>
    <xf numFmtId="0" fontId="2" fillId="2" borderId="38" xfId="0" applyFont="1" applyFill="1" applyBorder="1" applyAlignment="1">
      <alignment horizontal="center" vertical="center"/>
    </xf>
    <xf numFmtId="0" fontId="2" fillId="2" borderId="39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6" borderId="50" xfId="0" applyFont="1" applyFill="1" applyBorder="1" applyAlignment="1">
      <alignment horizontal="center" vertical="center" wrapText="1"/>
    </xf>
    <xf numFmtId="0" fontId="2" fillId="6" borderId="37" xfId="0" applyFont="1" applyFill="1" applyBorder="1" applyAlignment="1">
      <alignment horizontal="center" vertical="center" wrapText="1"/>
    </xf>
    <xf numFmtId="0" fontId="2" fillId="6" borderId="79" xfId="0" applyFont="1" applyFill="1" applyBorder="1" applyAlignment="1">
      <alignment horizontal="center" vertical="center" wrapText="1"/>
    </xf>
    <xf numFmtId="0" fontId="2" fillId="0" borderId="47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2" fillId="0" borderId="64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13" fillId="3" borderId="17" xfId="0" applyFont="1" applyFill="1" applyBorder="1" applyAlignment="1">
      <alignment horizontal="center" vertical="center"/>
    </xf>
    <xf numFmtId="0" fontId="13" fillId="3" borderId="15" xfId="0" applyFont="1" applyFill="1" applyBorder="1" applyAlignment="1">
      <alignment horizontal="center" vertical="center"/>
    </xf>
    <xf numFmtId="0" fontId="13" fillId="3" borderId="69" xfId="0" applyFont="1" applyFill="1" applyBorder="1" applyAlignment="1">
      <alignment horizontal="center" vertical="center"/>
    </xf>
    <xf numFmtId="0" fontId="2" fillId="0" borderId="74" xfId="0" applyFont="1" applyBorder="1" applyAlignment="1">
      <alignment horizontal="center" vertical="center"/>
    </xf>
    <xf numFmtId="0" fontId="2" fillId="0" borderId="75" xfId="0" applyFont="1" applyBorder="1" applyAlignment="1">
      <alignment horizontal="center" vertical="center"/>
    </xf>
    <xf numFmtId="0" fontId="2" fillId="0" borderId="76" xfId="0" applyFont="1" applyBorder="1" applyAlignment="1">
      <alignment horizontal="center" vertical="center"/>
    </xf>
    <xf numFmtId="0" fontId="11" fillId="0" borderId="71" xfId="0" applyFont="1" applyBorder="1" applyAlignment="1">
      <alignment horizontal="center" vertical="center"/>
    </xf>
    <xf numFmtId="0" fontId="11" fillId="0" borderId="72" xfId="0" applyFont="1" applyBorder="1" applyAlignment="1">
      <alignment horizontal="center" vertical="center"/>
    </xf>
    <xf numFmtId="0" fontId="11" fillId="0" borderId="73" xfId="0" applyFont="1" applyBorder="1" applyAlignment="1">
      <alignment horizontal="center" vertical="center"/>
    </xf>
    <xf numFmtId="0" fontId="2" fillId="0" borderId="80" xfId="0" applyFont="1" applyBorder="1" applyAlignment="1">
      <alignment horizontal="center" vertical="center"/>
    </xf>
    <xf numFmtId="0" fontId="2" fillId="0" borderId="82" xfId="0" applyFont="1" applyBorder="1" applyAlignment="1">
      <alignment horizontal="center" vertical="center"/>
    </xf>
    <xf numFmtId="0" fontId="2" fillId="2" borderId="80" xfId="0" applyFont="1" applyFill="1" applyBorder="1" applyAlignment="1">
      <alignment horizontal="center" vertical="center"/>
    </xf>
    <xf numFmtId="0" fontId="2" fillId="2" borderId="81" xfId="0" applyFont="1" applyFill="1" applyBorder="1" applyAlignment="1">
      <alignment horizontal="center" vertical="center"/>
    </xf>
    <xf numFmtId="0" fontId="2" fillId="2" borderId="82" xfId="0" applyFont="1" applyFill="1" applyBorder="1" applyAlignment="1">
      <alignment horizontal="center" vertical="center"/>
    </xf>
    <xf numFmtId="0" fontId="2" fillId="2" borderId="43" xfId="0" applyFont="1" applyFill="1" applyBorder="1" applyAlignment="1">
      <alignment horizontal="center" vertical="center"/>
    </xf>
    <xf numFmtId="0" fontId="2" fillId="2" borderId="4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5" fillId="2" borderId="22" xfId="0" applyFont="1" applyFill="1" applyBorder="1" applyAlignment="1" applyProtection="1">
      <alignment horizontal="center" vertical="center"/>
      <protection locked="0"/>
    </xf>
    <xf numFmtId="0" fontId="5" fillId="2" borderId="40" xfId="0" applyFont="1" applyFill="1" applyBorder="1" applyAlignment="1" applyProtection="1">
      <alignment horizontal="center" vertical="center"/>
      <protection locked="0"/>
    </xf>
    <xf numFmtId="0" fontId="5" fillId="2" borderId="65" xfId="0" applyFont="1" applyFill="1" applyBorder="1" applyAlignment="1" applyProtection="1">
      <alignment horizontal="center" vertical="center"/>
      <protection locked="0"/>
    </xf>
    <xf numFmtId="0" fontId="2" fillId="0" borderId="38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2" fillId="2" borderId="48" xfId="0" applyFont="1" applyFill="1" applyBorder="1" applyAlignment="1">
      <alignment horizontal="center" vertical="center"/>
    </xf>
    <xf numFmtId="0" fontId="2" fillId="2" borderId="42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23" fillId="2" borderId="42" xfId="0" applyFont="1" applyFill="1" applyBorder="1" applyAlignment="1">
      <alignment horizontal="center" vertical="center"/>
    </xf>
    <xf numFmtId="0" fontId="23" fillId="2" borderId="35" xfId="0" applyFont="1" applyFill="1" applyBorder="1" applyAlignment="1">
      <alignment horizontal="center" vertical="center"/>
    </xf>
    <xf numFmtId="0" fontId="2" fillId="6" borderId="38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39" xfId="0" applyFont="1" applyFill="1" applyBorder="1" applyAlignment="1">
      <alignment horizontal="center" vertical="center"/>
    </xf>
    <xf numFmtId="0" fontId="2" fillId="6" borderId="74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/>
    </xf>
    <xf numFmtId="0" fontId="2" fillId="6" borderId="76" xfId="0" applyFont="1" applyFill="1" applyBorder="1" applyAlignment="1">
      <alignment horizontal="center" vertical="center"/>
    </xf>
    <xf numFmtId="0" fontId="11" fillId="7" borderId="71" xfId="0" applyFont="1" applyFill="1" applyBorder="1" applyAlignment="1">
      <alignment horizontal="center" vertical="center"/>
    </xf>
    <xf numFmtId="0" fontId="11" fillId="7" borderId="72" xfId="0" applyFont="1" applyFill="1" applyBorder="1" applyAlignment="1">
      <alignment horizontal="center" vertical="center"/>
    </xf>
    <xf numFmtId="0" fontId="11" fillId="7" borderId="73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3" fillId="3" borderId="56" xfId="0" applyFont="1" applyFill="1" applyBorder="1" applyAlignment="1">
      <alignment horizontal="center" vertical="center"/>
    </xf>
    <xf numFmtId="0" fontId="13" fillId="3" borderId="58" xfId="0" applyFont="1" applyFill="1" applyBorder="1" applyAlignment="1">
      <alignment horizontal="center" vertical="center"/>
    </xf>
    <xf numFmtId="0" fontId="13" fillId="3" borderId="62" xfId="0" applyFont="1" applyFill="1" applyBorder="1" applyAlignment="1">
      <alignment horizontal="center" vertical="center"/>
    </xf>
    <xf numFmtId="0" fontId="2" fillId="0" borderId="78" xfId="0" applyFont="1" applyBorder="1" applyAlignment="1">
      <alignment horizontal="center" vertical="center"/>
    </xf>
    <xf numFmtId="0" fontId="2" fillId="0" borderId="77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12" fillId="0" borderId="55" xfId="0" applyFont="1" applyFill="1" applyBorder="1" applyAlignment="1">
      <alignment horizontal="center" vertical="center"/>
    </xf>
    <xf numFmtId="0" fontId="12" fillId="0" borderId="56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58" xfId="0" applyFont="1" applyFill="1" applyBorder="1" applyAlignment="1">
      <alignment horizontal="center" vertical="center"/>
    </xf>
    <xf numFmtId="0" fontId="12" fillId="0" borderId="61" xfId="0" applyFont="1" applyFill="1" applyBorder="1" applyAlignment="1">
      <alignment horizontal="center" vertical="center"/>
    </xf>
    <xf numFmtId="0" fontId="12" fillId="0" borderId="62" xfId="0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3" fillId="2" borderId="5" xfId="0" applyFont="1" applyFill="1" applyBorder="1" applyAlignment="1">
      <alignment horizontal="center" vertical="center"/>
    </xf>
    <xf numFmtId="0" fontId="23" fillId="2" borderId="19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/>
    </xf>
    <xf numFmtId="0" fontId="2" fillId="2" borderId="52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59" xfId="0" applyFont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15" fillId="2" borderId="40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3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41" xfId="0" applyFont="1" applyBorder="1" applyAlignment="1">
      <alignment horizontal="center" vertical="center"/>
    </xf>
    <xf numFmtId="0" fontId="2" fillId="0" borderId="4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5" xfId="0" applyFont="1" applyBorder="1" applyAlignment="1">
      <alignment horizontal="left"/>
    </xf>
  </cellXfs>
  <cellStyles count="367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</cellStyles>
  <dxfs count="0"/>
  <tableStyles count="0" defaultTableStyle="TableStyleMedium9" defaultPivotStyle="PivotStyleMedium4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38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2049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24</xdr:col>
      <xdr:colOff>0</xdr:colOff>
      <xdr:row>38</xdr:row>
      <xdr:rowOff>0</xdr:rowOff>
    </xdr:from>
    <xdr:to>
      <xdr:col>31</xdr:col>
      <xdr:colOff>0</xdr:colOff>
      <xdr:row>40</xdr:row>
      <xdr:rowOff>0</xdr:rowOff>
    </xdr:to>
    <xdr:sp macro="" textlink="">
      <xdr:nvSpPr>
        <xdr:cNvPr id="10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623733" y="9008533"/>
          <a:ext cx="1507067" cy="474134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213360</xdr:colOff>
          <xdr:row>37</xdr:row>
          <xdr:rowOff>22860</xdr:rowOff>
        </xdr:from>
        <xdr:to>
          <xdr:col>3</xdr:col>
          <xdr:colOff>1691640</xdr:colOff>
          <xdr:row>39</xdr:row>
          <xdr:rowOff>22860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259080</xdr:colOff>
          <xdr:row>36</xdr:row>
          <xdr:rowOff>175260</xdr:rowOff>
        </xdr:from>
        <xdr:to>
          <xdr:col>22</xdr:col>
          <xdr:colOff>1066800</xdr:colOff>
          <xdr:row>38</xdr:row>
          <xdr:rowOff>175260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2:BF270"/>
  <sheetViews>
    <sheetView tabSelected="1" view="pageBreakPreview" zoomScale="70" zoomScaleNormal="40" zoomScaleSheetLayoutView="70" zoomScalePageLayoutView="75" workbookViewId="0">
      <selection activeCell="Q26" sqref="B3:S26"/>
    </sheetView>
  </sheetViews>
  <sheetFormatPr defaultColWidth="4.59765625" defaultRowHeight="18" customHeight="1" x14ac:dyDescent="0.2"/>
  <cols>
    <col min="1" max="1" width="8" style="4" customWidth="1"/>
    <col min="2" max="2" width="3.796875" style="4" customWidth="1"/>
    <col min="3" max="3" width="8.59765625" style="4" customWidth="1"/>
    <col min="4" max="4" width="23.59765625" style="4" customWidth="1"/>
    <col min="5" max="5" width="3.296875" style="4" customWidth="1"/>
    <col min="6" max="6" width="2.296875" style="4" customWidth="1"/>
    <col min="7" max="7" width="3.296875" style="4" customWidth="1"/>
    <col min="8" max="8" width="2.296875" style="4" customWidth="1"/>
    <col min="9" max="9" width="3.296875" style="4" customWidth="1"/>
    <col min="10" max="10" width="2.296875" style="4" customWidth="1"/>
    <col min="11" max="11" width="3.296875" style="4" customWidth="1"/>
    <col min="12" max="12" width="2.296875" style="4" customWidth="1"/>
    <col min="13" max="14" width="3.296875" style="4" customWidth="1"/>
    <col min="15" max="15" width="8.59765625" style="4" customWidth="1"/>
    <col min="16" max="16" width="23.59765625" style="4" customWidth="1"/>
    <col min="17" max="17" width="2.296875" style="4" customWidth="1"/>
    <col min="18" max="19" width="3.296875" style="4" customWidth="1"/>
    <col min="20" max="20" width="2.296875" style="4" customWidth="1"/>
    <col min="21" max="21" width="3.796875" style="4" customWidth="1"/>
    <col min="22" max="22" width="8.59765625" style="4" customWidth="1"/>
    <col min="23" max="23" width="23.59765625" style="4" customWidth="1"/>
    <col min="24" max="24" width="3.296875" style="4" customWidth="1"/>
    <col min="25" max="25" width="2.296875" style="4" customWidth="1"/>
    <col min="26" max="26" width="3.296875" style="4" customWidth="1"/>
    <col min="27" max="27" width="2.296875" style="4" customWidth="1"/>
    <col min="28" max="28" width="3.296875" style="4" customWidth="1"/>
    <col min="29" max="29" width="2.296875" style="4" customWidth="1"/>
    <col min="30" max="30" width="3.296875" style="4" customWidth="1"/>
    <col min="31" max="31" width="2.296875" style="4" customWidth="1"/>
    <col min="32" max="33" width="3.296875" style="4" customWidth="1"/>
    <col min="34" max="34" width="8.59765625" style="4" customWidth="1"/>
    <col min="35" max="35" width="23.59765625" style="4" customWidth="1"/>
    <col min="36" max="36" width="2.296875" style="4" customWidth="1"/>
    <col min="37" max="38" width="3.296875" style="4" customWidth="1"/>
    <col min="39" max="40" width="2.296875" style="4" customWidth="1"/>
    <col min="41" max="41" width="3.296875" style="4" customWidth="1"/>
    <col min="42" max="42" width="2.296875" style="4" customWidth="1"/>
    <col min="43" max="44" width="3.296875" style="4" customWidth="1"/>
    <col min="45" max="45" width="2.296875" style="4" customWidth="1"/>
    <col min="46" max="46" width="3.296875" style="4" customWidth="1"/>
    <col min="47" max="47" width="2.296875" style="4" customWidth="1"/>
    <col min="48" max="48" width="3.296875" style="4" customWidth="1"/>
    <col min="49" max="49" width="2.296875" style="4" customWidth="1"/>
    <col min="50" max="50" width="3.296875" style="4" customWidth="1"/>
    <col min="51" max="51" width="2.296875" style="4" customWidth="1"/>
    <col min="52" max="52" width="3.296875" style="4" customWidth="1"/>
    <col min="53" max="16384" width="4.59765625" style="4"/>
  </cols>
  <sheetData>
    <row r="2" spans="2:38" ht="18" customHeight="1" thickBot="1" x14ac:dyDescent="0.25"/>
    <row r="3" spans="2:38" ht="18" customHeight="1" thickBot="1" x14ac:dyDescent="0.25">
      <c r="B3" s="6"/>
      <c r="C3" s="217" t="s">
        <v>8</v>
      </c>
      <c r="D3" s="218"/>
      <c r="E3" s="219" t="s">
        <v>313</v>
      </c>
      <c r="F3" s="220"/>
      <c r="G3" s="220"/>
      <c r="H3" s="220"/>
      <c r="I3" s="220"/>
      <c r="J3" s="220"/>
      <c r="K3" s="220"/>
      <c r="L3" s="220"/>
      <c r="M3" s="221"/>
      <c r="U3" s="6"/>
      <c r="V3" s="155" t="s">
        <v>8</v>
      </c>
      <c r="W3" s="156"/>
      <c r="X3" s="157" t="s">
        <v>316</v>
      </c>
      <c r="Y3" s="158"/>
      <c r="Z3" s="158"/>
      <c r="AA3" s="158"/>
      <c r="AB3" s="158"/>
      <c r="AC3" s="158"/>
      <c r="AD3" s="158"/>
      <c r="AE3" s="158"/>
      <c r="AF3" s="159"/>
    </row>
    <row r="4" spans="2:38" ht="18" customHeight="1" x14ac:dyDescent="0.35">
      <c r="B4" s="89" t="s">
        <v>7</v>
      </c>
      <c r="C4" s="118" t="s">
        <v>9</v>
      </c>
      <c r="D4" s="9" t="s">
        <v>1</v>
      </c>
      <c r="E4" s="160" t="s">
        <v>209</v>
      </c>
      <c r="F4" s="222"/>
      <c r="G4" s="223"/>
      <c r="H4" s="163" t="str">
        <f>IF(ISBLANK(E4),"左に材質を入力してください",IFERROR(VLOOKUP(E4,情報!$B$33:$H$70,7,0),"情報リストの材質を選択せよ"))</f>
        <v>正しい材質選択です</v>
      </c>
      <c r="I4" s="164"/>
      <c r="J4" s="164"/>
      <c r="K4" s="164"/>
      <c r="L4" s="164"/>
      <c r="M4" s="165"/>
      <c r="N4" s="99" t="s">
        <v>10</v>
      </c>
      <c r="O4" s="118" t="s">
        <v>11</v>
      </c>
      <c r="P4" s="38" t="s">
        <v>108</v>
      </c>
      <c r="Q4" s="77">
        <v>25</v>
      </c>
      <c r="R4" s="78"/>
      <c r="S4" s="79"/>
      <c r="U4" s="89" t="s">
        <v>7</v>
      </c>
      <c r="V4" s="123" t="s">
        <v>9</v>
      </c>
      <c r="W4" s="9" t="s">
        <v>1</v>
      </c>
      <c r="X4" s="160" t="s">
        <v>209</v>
      </c>
      <c r="Y4" s="161"/>
      <c r="Z4" s="162"/>
      <c r="AA4" s="163" t="str">
        <f>IF(ISBLANK(X4),"左に材質を入力してください",IFERROR(VLOOKUP(X4,情報!$B$33:$H$70,7,0),"情報リストの材質を選択せよ"))</f>
        <v>正しい材質選択です</v>
      </c>
      <c r="AB4" s="164"/>
      <c r="AC4" s="164"/>
      <c r="AD4" s="164"/>
      <c r="AE4" s="164"/>
      <c r="AF4" s="165"/>
      <c r="AG4" s="89" t="s">
        <v>10</v>
      </c>
      <c r="AH4" s="123" t="s">
        <v>11</v>
      </c>
      <c r="AI4" s="38" t="s">
        <v>108</v>
      </c>
      <c r="AJ4" s="115">
        <v>25</v>
      </c>
      <c r="AK4" s="116"/>
      <c r="AL4" s="117"/>
    </row>
    <row r="5" spans="2:38" ht="18" customHeight="1" x14ac:dyDescent="0.35">
      <c r="B5" s="90"/>
      <c r="C5" s="119"/>
      <c r="D5" s="8" t="s">
        <v>0</v>
      </c>
      <c r="E5" s="42">
        <v>600</v>
      </c>
      <c r="F5" s="41" t="s">
        <v>6</v>
      </c>
      <c r="G5" s="43">
        <v>300</v>
      </c>
      <c r="H5" s="41" t="s">
        <v>6</v>
      </c>
      <c r="I5" s="43">
        <v>16</v>
      </c>
      <c r="J5" s="41" t="s">
        <v>6</v>
      </c>
      <c r="K5" s="43">
        <v>25</v>
      </c>
      <c r="L5" s="41" t="s">
        <v>6</v>
      </c>
      <c r="M5" s="44">
        <v>13</v>
      </c>
      <c r="N5" s="100"/>
      <c r="O5" s="119"/>
      <c r="P5" s="32" t="s">
        <v>109</v>
      </c>
      <c r="Q5" s="80">
        <v>25</v>
      </c>
      <c r="R5" s="81"/>
      <c r="S5" s="82"/>
      <c r="U5" s="90"/>
      <c r="V5" s="124"/>
      <c r="W5" s="30" t="s">
        <v>0</v>
      </c>
      <c r="X5" s="59">
        <v>600</v>
      </c>
      <c r="Y5" s="55" t="s">
        <v>6</v>
      </c>
      <c r="Z5" s="58">
        <v>300</v>
      </c>
      <c r="AA5" s="55" t="s">
        <v>6</v>
      </c>
      <c r="AB5" s="58">
        <v>16</v>
      </c>
      <c r="AC5" s="55" t="s">
        <v>6</v>
      </c>
      <c r="AD5" s="58">
        <v>22</v>
      </c>
      <c r="AE5" s="55" t="s">
        <v>6</v>
      </c>
      <c r="AF5" s="60">
        <v>13</v>
      </c>
      <c r="AG5" s="90"/>
      <c r="AH5" s="97"/>
      <c r="AI5" s="57" t="s">
        <v>109</v>
      </c>
      <c r="AJ5" s="109">
        <v>22</v>
      </c>
      <c r="AK5" s="110"/>
      <c r="AL5" s="111"/>
    </row>
    <row r="6" spans="2:38" ht="18" customHeight="1" x14ac:dyDescent="0.35">
      <c r="B6" s="90"/>
      <c r="C6" s="94" t="s">
        <v>2</v>
      </c>
      <c r="D6" s="95"/>
      <c r="E6" s="211" t="s">
        <v>311</v>
      </c>
      <c r="F6" s="205"/>
      <c r="G6" s="205"/>
      <c r="H6" s="205"/>
      <c r="I6" s="205"/>
      <c r="J6" s="205"/>
      <c r="K6" s="205"/>
      <c r="L6" s="205"/>
      <c r="M6" s="214"/>
      <c r="N6" s="100"/>
      <c r="O6" s="119"/>
      <c r="P6" s="32" t="s">
        <v>110</v>
      </c>
      <c r="Q6" s="80">
        <v>300</v>
      </c>
      <c r="R6" s="81"/>
      <c r="S6" s="82"/>
      <c r="U6" s="90"/>
      <c r="V6" s="92" t="s">
        <v>2</v>
      </c>
      <c r="W6" s="131"/>
      <c r="X6" s="132" t="s">
        <v>311</v>
      </c>
      <c r="Y6" s="126"/>
      <c r="Z6" s="126"/>
      <c r="AA6" s="126"/>
      <c r="AB6" s="126"/>
      <c r="AC6" s="126"/>
      <c r="AD6" s="126"/>
      <c r="AE6" s="126"/>
      <c r="AF6" s="133"/>
      <c r="AG6" s="90"/>
      <c r="AH6" s="97"/>
      <c r="AI6" s="57" t="s">
        <v>110</v>
      </c>
      <c r="AJ6" s="109">
        <v>300</v>
      </c>
      <c r="AK6" s="110"/>
      <c r="AL6" s="111"/>
    </row>
    <row r="7" spans="2:38" ht="18" customHeight="1" x14ac:dyDescent="0.35">
      <c r="B7" s="90"/>
      <c r="C7" s="92" t="s">
        <v>98</v>
      </c>
      <c r="D7" s="93"/>
      <c r="E7" s="211">
        <v>600</v>
      </c>
      <c r="F7" s="205"/>
      <c r="G7" s="205"/>
      <c r="H7" s="205"/>
      <c r="I7" s="205"/>
      <c r="J7" s="205"/>
      <c r="K7" s="205"/>
      <c r="L7" s="205"/>
      <c r="M7" s="214"/>
      <c r="N7" s="100"/>
      <c r="O7" s="119"/>
      <c r="P7" s="32" t="s">
        <v>111</v>
      </c>
      <c r="Q7" s="80">
        <v>9</v>
      </c>
      <c r="R7" s="81"/>
      <c r="S7" s="82"/>
      <c r="U7" s="90"/>
      <c r="V7" s="92" t="s">
        <v>98</v>
      </c>
      <c r="W7" s="131"/>
      <c r="X7" s="132">
        <v>600</v>
      </c>
      <c r="Y7" s="126"/>
      <c r="Z7" s="126"/>
      <c r="AA7" s="126"/>
      <c r="AB7" s="126"/>
      <c r="AC7" s="126"/>
      <c r="AD7" s="126"/>
      <c r="AE7" s="126"/>
      <c r="AF7" s="133"/>
      <c r="AG7" s="90"/>
      <c r="AH7" s="124"/>
      <c r="AI7" s="57" t="s">
        <v>111</v>
      </c>
      <c r="AJ7" s="109">
        <v>9</v>
      </c>
      <c r="AK7" s="110"/>
      <c r="AL7" s="111"/>
    </row>
    <row r="8" spans="2:38" ht="18" customHeight="1" x14ac:dyDescent="0.35">
      <c r="B8" s="90"/>
      <c r="C8" s="92" t="s">
        <v>14</v>
      </c>
      <c r="D8" s="93"/>
      <c r="E8" s="226">
        <v>730</v>
      </c>
      <c r="F8" s="227"/>
      <c r="G8" s="227"/>
      <c r="H8" s="227"/>
      <c r="I8" s="227"/>
      <c r="J8" s="227"/>
      <c r="K8" s="227"/>
      <c r="L8" s="227"/>
      <c r="M8" s="228"/>
      <c r="N8" s="100"/>
      <c r="O8" s="134" t="s">
        <v>12</v>
      </c>
      <c r="P8" s="32" t="s">
        <v>134</v>
      </c>
      <c r="Q8" s="80">
        <v>1400</v>
      </c>
      <c r="R8" s="81"/>
      <c r="S8" s="82"/>
      <c r="U8" s="90"/>
      <c r="V8" s="92" t="s">
        <v>14</v>
      </c>
      <c r="W8" s="131"/>
      <c r="X8" s="166">
        <v>730</v>
      </c>
      <c r="Y8" s="167"/>
      <c r="Z8" s="167"/>
      <c r="AA8" s="167"/>
      <c r="AB8" s="167"/>
      <c r="AC8" s="167"/>
      <c r="AD8" s="167"/>
      <c r="AE8" s="167"/>
      <c r="AF8" s="168"/>
      <c r="AG8" s="90"/>
      <c r="AH8" s="120" t="s">
        <v>12</v>
      </c>
      <c r="AI8" s="57" t="s">
        <v>134</v>
      </c>
      <c r="AJ8" s="109">
        <v>1232</v>
      </c>
      <c r="AK8" s="110"/>
      <c r="AL8" s="111"/>
    </row>
    <row r="9" spans="2:38" ht="18" customHeight="1" x14ac:dyDescent="0.35">
      <c r="B9" s="90"/>
      <c r="C9" s="94" t="s">
        <v>15</v>
      </c>
      <c r="D9" s="95"/>
      <c r="E9" s="211">
        <v>9</v>
      </c>
      <c r="F9" s="205"/>
      <c r="G9" s="205"/>
      <c r="H9" s="205"/>
      <c r="I9" s="205"/>
      <c r="J9" s="205"/>
      <c r="K9" s="205"/>
      <c r="L9" s="205"/>
      <c r="M9" s="214"/>
      <c r="N9" s="100"/>
      <c r="O9" s="119"/>
      <c r="P9" s="32" t="s">
        <v>135</v>
      </c>
      <c r="Q9" s="80">
        <v>1692</v>
      </c>
      <c r="R9" s="81"/>
      <c r="S9" s="82"/>
      <c r="U9" s="90"/>
      <c r="V9" s="92" t="s">
        <v>15</v>
      </c>
      <c r="W9" s="131"/>
      <c r="X9" s="132">
        <v>9</v>
      </c>
      <c r="Y9" s="126"/>
      <c r="Z9" s="126"/>
      <c r="AA9" s="126"/>
      <c r="AB9" s="126"/>
      <c r="AC9" s="126"/>
      <c r="AD9" s="126"/>
      <c r="AE9" s="126"/>
      <c r="AF9" s="133"/>
      <c r="AG9" s="90"/>
      <c r="AH9" s="121"/>
      <c r="AI9" s="57" t="s">
        <v>135</v>
      </c>
      <c r="AJ9" s="109">
        <v>1692</v>
      </c>
      <c r="AK9" s="110"/>
      <c r="AL9" s="111"/>
    </row>
    <row r="10" spans="2:38" ht="18" customHeight="1" thickBot="1" x14ac:dyDescent="0.4">
      <c r="B10" s="90"/>
      <c r="C10" s="94" t="s">
        <v>16</v>
      </c>
      <c r="D10" s="95"/>
      <c r="E10" s="211">
        <v>9</v>
      </c>
      <c r="F10" s="205"/>
      <c r="G10" s="205"/>
      <c r="H10" s="205"/>
      <c r="I10" s="205"/>
      <c r="J10" s="205"/>
      <c r="K10" s="205"/>
      <c r="L10" s="205"/>
      <c r="M10" s="214"/>
      <c r="N10" s="100"/>
      <c r="O10" s="119"/>
      <c r="P10" s="39" t="s">
        <v>136</v>
      </c>
      <c r="Q10" s="83">
        <v>2953</v>
      </c>
      <c r="R10" s="84"/>
      <c r="S10" s="85"/>
      <c r="U10" s="90"/>
      <c r="V10" s="92" t="s">
        <v>16</v>
      </c>
      <c r="W10" s="131"/>
      <c r="X10" s="132">
        <v>9</v>
      </c>
      <c r="Y10" s="126"/>
      <c r="Z10" s="126"/>
      <c r="AA10" s="126"/>
      <c r="AB10" s="126"/>
      <c r="AC10" s="126"/>
      <c r="AD10" s="126"/>
      <c r="AE10" s="126"/>
      <c r="AF10" s="133"/>
      <c r="AG10" s="90"/>
      <c r="AH10" s="121"/>
      <c r="AI10" s="39" t="s">
        <v>136</v>
      </c>
      <c r="AJ10" s="149">
        <v>2953</v>
      </c>
      <c r="AK10" s="150"/>
      <c r="AL10" s="151"/>
    </row>
    <row r="11" spans="2:38" ht="18" customHeight="1" thickTop="1" thickBot="1" x14ac:dyDescent="0.4">
      <c r="B11" s="90"/>
      <c r="C11" s="224" t="s">
        <v>97</v>
      </c>
      <c r="D11" s="225"/>
      <c r="E11" s="211" t="s">
        <v>96</v>
      </c>
      <c r="F11" s="205"/>
      <c r="G11" s="205"/>
      <c r="H11" s="31">
        <v>0</v>
      </c>
      <c r="I11" s="215" t="s">
        <v>93</v>
      </c>
      <c r="J11" s="215"/>
      <c r="K11" s="205" t="s">
        <v>100</v>
      </c>
      <c r="L11" s="205"/>
      <c r="M11" s="214"/>
      <c r="N11" s="101"/>
      <c r="O11" s="135"/>
      <c r="P11" s="36" t="s">
        <v>112</v>
      </c>
      <c r="Q11" s="86" t="s">
        <v>314</v>
      </c>
      <c r="R11" s="87"/>
      <c r="S11" s="88"/>
      <c r="U11" s="90"/>
      <c r="V11" s="92" t="s">
        <v>97</v>
      </c>
      <c r="W11" s="131"/>
      <c r="X11" s="132" t="s">
        <v>96</v>
      </c>
      <c r="Y11" s="126"/>
      <c r="Z11" s="127"/>
      <c r="AA11" s="58">
        <v>0</v>
      </c>
      <c r="AB11" s="169" t="s">
        <v>93</v>
      </c>
      <c r="AC11" s="170"/>
      <c r="AD11" s="125" t="s">
        <v>100</v>
      </c>
      <c r="AE11" s="126"/>
      <c r="AF11" s="133"/>
      <c r="AG11" s="91"/>
      <c r="AH11" s="122"/>
      <c r="AI11" s="36" t="s">
        <v>112</v>
      </c>
      <c r="AJ11" s="152" t="s">
        <v>317</v>
      </c>
      <c r="AK11" s="153"/>
      <c r="AL11" s="154"/>
    </row>
    <row r="12" spans="2:38" ht="18" customHeight="1" thickTop="1" x14ac:dyDescent="0.35">
      <c r="B12" s="90"/>
      <c r="C12" s="92" t="s">
        <v>101</v>
      </c>
      <c r="D12" s="93"/>
      <c r="E12" s="211">
        <v>200</v>
      </c>
      <c r="F12" s="205"/>
      <c r="G12" s="205"/>
      <c r="H12" s="205"/>
      <c r="I12" s="205"/>
      <c r="J12" s="205"/>
      <c r="K12" s="205"/>
      <c r="L12" s="205"/>
      <c r="M12" s="214"/>
      <c r="N12" s="89" t="s">
        <v>307</v>
      </c>
      <c r="O12" s="118" t="s">
        <v>11</v>
      </c>
      <c r="P12" s="38" t="s">
        <v>137</v>
      </c>
      <c r="Q12" s="77">
        <v>9</v>
      </c>
      <c r="R12" s="78"/>
      <c r="S12" s="79"/>
      <c r="U12" s="90"/>
      <c r="V12" s="92" t="s">
        <v>101</v>
      </c>
      <c r="W12" s="131"/>
      <c r="X12" s="132">
        <v>200</v>
      </c>
      <c r="Y12" s="126"/>
      <c r="Z12" s="126"/>
      <c r="AA12" s="126"/>
      <c r="AB12" s="126"/>
      <c r="AC12" s="126"/>
      <c r="AD12" s="126"/>
      <c r="AE12" s="126"/>
      <c r="AF12" s="133"/>
      <c r="AG12" s="89" t="s">
        <v>307</v>
      </c>
      <c r="AH12" s="123" t="s">
        <v>11</v>
      </c>
      <c r="AI12" s="38" t="s">
        <v>137</v>
      </c>
      <c r="AJ12" s="140">
        <v>9</v>
      </c>
      <c r="AK12" s="141"/>
      <c r="AL12" s="142"/>
    </row>
    <row r="13" spans="2:38" ht="18" customHeight="1" x14ac:dyDescent="0.35">
      <c r="B13" s="90"/>
      <c r="C13" s="96" t="s">
        <v>3</v>
      </c>
      <c r="D13" s="23"/>
      <c r="E13" s="80" t="s">
        <v>4</v>
      </c>
      <c r="F13" s="81"/>
      <c r="G13" s="81"/>
      <c r="H13" s="81" t="s">
        <v>5</v>
      </c>
      <c r="I13" s="81"/>
      <c r="J13" s="81"/>
      <c r="K13" s="81"/>
      <c r="L13" s="81"/>
      <c r="M13" s="82"/>
      <c r="N13" s="90"/>
      <c r="O13" s="119"/>
      <c r="P13" s="32" t="s">
        <v>113</v>
      </c>
      <c r="Q13" s="80">
        <v>200</v>
      </c>
      <c r="R13" s="81"/>
      <c r="S13" s="82"/>
      <c r="U13" s="90"/>
      <c r="V13" s="96" t="s">
        <v>3</v>
      </c>
      <c r="W13" s="23"/>
      <c r="X13" s="109" t="s">
        <v>4</v>
      </c>
      <c r="Y13" s="110"/>
      <c r="Z13" s="119"/>
      <c r="AA13" s="136" t="s">
        <v>5</v>
      </c>
      <c r="AB13" s="110"/>
      <c r="AC13" s="119"/>
      <c r="AD13" s="136"/>
      <c r="AE13" s="110"/>
      <c r="AF13" s="111"/>
      <c r="AG13" s="90"/>
      <c r="AH13" s="97"/>
      <c r="AI13" s="57" t="s">
        <v>113</v>
      </c>
      <c r="AJ13" s="109">
        <v>200</v>
      </c>
      <c r="AK13" s="110"/>
      <c r="AL13" s="111"/>
    </row>
    <row r="14" spans="2:38" ht="18" customHeight="1" x14ac:dyDescent="0.35">
      <c r="B14" s="90"/>
      <c r="C14" s="97"/>
      <c r="D14" s="32" t="s">
        <v>102</v>
      </c>
      <c r="E14" s="211">
        <v>350</v>
      </c>
      <c r="F14" s="205"/>
      <c r="G14" s="205"/>
      <c r="H14" s="205">
        <v>550</v>
      </c>
      <c r="I14" s="205"/>
      <c r="J14" s="205"/>
      <c r="K14" s="206">
        <v>265</v>
      </c>
      <c r="L14" s="206"/>
      <c r="M14" s="216"/>
      <c r="N14" s="90"/>
      <c r="O14" s="119"/>
      <c r="P14" s="32" t="s">
        <v>114</v>
      </c>
      <c r="Q14" s="80">
        <v>16</v>
      </c>
      <c r="R14" s="81"/>
      <c r="S14" s="82"/>
      <c r="U14" s="90"/>
      <c r="V14" s="97"/>
      <c r="W14" s="57" t="s">
        <v>102</v>
      </c>
      <c r="X14" s="132">
        <v>450</v>
      </c>
      <c r="Y14" s="126"/>
      <c r="Z14" s="127"/>
      <c r="AA14" s="125">
        <v>800</v>
      </c>
      <c r="AB14" s="126"/>
      <c r="AC14" s="127"/>
      <c r="AD14" s="128">
        <v>501</v>
      </c>
      <c r="AE14" s="129"/>
      <c r="AF14" s="130"/>
      <c r="AG14" s="90"/>
      <c r="AH14" s="124"/>
      <c r="AI14" s="57" t="s">
        <v>114</v>
      </c>
      <c r="AJ14" s="109">
        <v>16</v>
      </c>
      <c r="AK14" s="110"/>
      <c r="AL14" s="111"/>
    </row>
    <row r="15" spans="2:38" ht="18" customHeight="1" x14ac:dyDescent="0.35">
      <c r="B15" s="90"/>
      <c r="C15" s="97"/>
      <c r="D15" s="35" t="s">
        <v>103</v>
      </c>
      <c r="E15" s="211">
        <v>-80</v>
      </c>
      <c r="F15" s="205"/>
      <c r="G15" s="205"/>
      <c r="H15" s="205">
        <v>650</v>
      </c>
      <c r="I15" s="205"/>
      <c r="J15" s="205"/>
      <c r="K15" s="206">
        <v>265</v>
      </c>
      <c r="L15" s="206"/>
      <c r="M15" s="216"/>
      <c r="N15" s="90"/>
      <c r="O15" s="209" t="s">
        <v>12</v>
      </c>
      <c r="P15" s="54" t="s">
        <v>139</v>
      </c>
      <c r="Q15" s="62">
        <v>1152</v>
      </c>
      <c r="R15" s="63"/>
      <c r="S15" s="64"/>
      <c r="U15" s="90"/>
      <c r="V15" s="97"/>
      <c r="W15" s="61" t="s">
        <v>103</v>
      </c>
      <c r="X15" s="132">
        <v>-150</v>
      </c>
      <c r="Y15" s="126"/>
      <c r="Z15" s="127"/>
      <c r="AA15" s="125">
        <v>600</v>
      </c>
      <c r="AB15" s="126"/>
      <c r="AC15" s="127"/>
      <c r="AD15" s="128">
        <v>0</v>
      </c>
      <c r="AE15" s="129"/>
      <c r="AF15" s="130"/>
      <c r="AG15" s="90"/>
      <c r="AH15" s="137" t="s">
        <v>12</v>
      </c>
      <c r="AI15" s="54" t="s">
        <v>139</v>
      </c>
      <c r="AJ15" s="178">
        <v>1152</v>
      </c>
      <c r="AK15" s="179"/>
      <c r="AL15" s="180"/>
    </row>
    <row r="16" spans="2:38" ht="18" customHeight="1" x14ac:dyDescent="0.35">
      <c r="B16" s="90"/>
      <c r="C16" s="97"/>
      <c r="D16" s="32" t="s">
        <v>104</v>
      </c>
      <c r="E16" s="211">
        <v>130</v>
      </c>
      <c r="F16" s="205"/>
      <c r="G16" s="205"/>
      <c r="H16" s="205">
        <v>300</v>
      </c>
      <c r="I16" s="205"/>
      <c r="J16" s="205"/>
      <c r="K16" s="206">
        <v>107</v>
      </c>
      <c r="L16" s="206"/>
      <c r="M16" s="206"/>
      <c r="N16" s="90"/>
      <c r="O16" s="210"/>
      <c r="P16" s="54" t="s">
        <v>138</v>
      </c>
      <c r="Q16" s="62">
        <v>2304</v>
      </c>
      <c r="R16" s="63"/>
      <c r="S16" s="64"/>
      <c r="U16" s="90"/>
      <c r="V16" s="97"/>
      <c r="W16" s="57" t="s">
        <v>104</v>
      </c>
      <c r="X16" s="132">
        <v>0</v>
      </c>
      <c r="Y16" s="126"/>
      <c r="Z16" s="127"/>
      <c r="AA16" s="125">
        <v>470</v>
      </c>
      <c r="AB16" s="126"/>
      <c r="AC16" s="127"/>
      <c r="AD16" s="128">
        <v>102</v>
      </c>
      <c r="AE16" s="129"/>
      <c r="AF16" s="130"/>
      <c r="AG16" s="90"/>
      <c r="AH16" s="138"/>
      <c r="AI16" s="54" t="s">
        <v>138</v>
      </c>
      <c r="AJ16" s="178">
        <v>2304</v>
      </c>
      <c r="AK16" s="179"/>
      <c r="AL16" s="180"/>
    </row>
    <row r="17" spans="2:38" ht="18" customHeight="1" thickBot="1" x14ac:dyDescent="0.4">
      <c r="B17" s="90"/>
      <c r="C17" s="97"/>
      <c r="D17" s="32" t="s">
        <v>105</v>
      </c>
      <c r="E17" s="211">
        <v>2000</v>
      </c>
      <c r="F17" s="205"/>
      <c r="G17" s="205"/>
      <c r="H17" s="125">
        <v>1800</v>
      </c>
      <c r="I17" s="126"/>
      <c r="J17" s="127"/>
      <c r="K17" s="128">
        <v>250</v>
      </c>
      <c r="L17" s="129"/>
      <c r="M17" s="207"/>
      <c r="N17" s="90"/>
      <c r="O17" s="210"/>
      <c r="P17" s="54" t="s">
        <v>141</v>
      </c>
      <c r="Q17" s="65">
        <v>2105</v>
      </c>
      <c r="R17" s="66"/>
      <c r="S17" s="67"/>
      <c r="U17" s="90"/>
      <c r="V17" s="97"/>
      <c r="W17" s="57" t="s">
        <v>105</v>
      </c>
      <c r="X17" s="132">
        <v>0</v>
      </c>
      <c r="Y17" s="126"/>
      <c r="Z17" s="127"/>
      <c r="AA17" s="125">
        <v>500</v>
      </c>
      <c r="AB17" s="126"/>
      <c r="AC17" s="127"/>
      <c r="AD17" s="128">
        <v>324</v>
      </c>
      <c r="AE17" s="129"/>
      <c r="AF17" s="130"/>
      <c r="AG17" s="90"/>
      <c r="AH17" s="138"/>
      <c r="AI17" s="54" t="s">
        <v>141</v>
      </c>
      <c r="AJ17" s="181">
        <v>2105</v>
      </c>
      <c r="AK17" s="182"/>
      <c r="AL17" s="183"/>
    </row>
    <row r="18" spans="2:38" ht="18" customHeight="1" thickTop="1" thickBot="1" x14ac:dyDescent="0.4">
      <c r="B18" s="90"/>
      <c r="C18" s="97"/>
      <c r="D18" s="32" t="s">
        <v>106</v>
      </c>
      <c r="E18" s="211">
        <v>120</v>
      </c>
      <c r="F18" s="205"/>
      <c r="G18" s="205"/>
      <c r="H18" s="205">
        <v>470</v>
      </c>
      <c r="I18" s="205"/>
      <c r="J18" s="205"/>
      <c r="K18" s="206">
        <v>117</v>
      </c>
      <c r="L18" s="206"/>
      <c r="M18" s="206"/>
      <c r="N18" s="90"/>
      <c r="O18" s="210"/>
      <c r="P18" s="54" t="s">
        <v>112</v>
      </c>
      <c r="Q18" s="68" t="s">
        <v>309</v>
      </c>
      <c r="R18" s="69"/>
      <c r="S18" s="70"/>
      <c r="U18" s="90"/>
      <c r="V18" s="97"/>
      <c r="W18" s="57" t="s">
        <v>106</v>
      </c>
      <c r="X18" s="132">
        <v>120</v>
      </c>
      <c r="Y18" s="126"/>
      <c r="Z18" s="127"/>
      <c r="AA18" s="125">
        <v>490</v>
      </c>
      <c r="AB18" s="126"/>
      <c r="AC18" s="127"/>
      <c r="AD18" s="128">
        <v>105</v>
      </c>
      <c r="AE18" s="129"/>
      <c r="AF18" s="130"/>
      <c r="AG18" s="90"/>
      <c r="AH18" s="139"/>
      <c r="AI18" s="54" t="s">
        <v>112</v>
      </c>
      <c r="AJ18" s="184" t="s">
        <v>309</v>
      </c>
      <c r="AK18" s="185"/>
      <c r="AL18" s="186"/>
    </row>
    <row r="19" spans="2:38" ht="18" customHeight="1" thickTop="1" thickBot="1" x14ac:dyDescent="0.4">
      <c r="B19" s="91"/>
      <c r="C19" s="98"/>
      <c r="D19" s="36" t="s">
        <v>107</v>
      </c>
      <c r="E19" s="212">
        <v>2400</v>
      </c>
      <c r="F19" s="213"/>
      <c r="G19" s="213"/>
      <c r="H19" s="174">
        <v>2100</v>
      </c>
      <c r="I19" s="172"/>
      <c r="J19" s="173"/>
      <c r="K19" s="175">
        <v>545</v>
      </c>
      <c r="L19" s="176"/>
      <c r="M19" s="208"/>
      <c r="N19" s="90"/>
      <c r="O19" s="134" t="s">
        <v>13</v>
      </c>
      <c r="P19" s="32" t="s">
        <v>115</v>
      </c>
      <c r="Q19" s="144">
        <v>479</v>
      </c>
      <c r="R19" s="145"/>
      <c r="S19" s="204"/>
      <c r="U19" s="91"/>
      <c r="V19" s="98"/>
      <c r="W19" s="36" t="s">
        <v>107</v>
      </c>
      <c r="X19" s="171">
        <v>500</v>
      </c>
      <c r="Y19" s="172"/>
      <c r="Z19" s="173"/>
      <c r="AA19" s="174">
        <v>700</v>
      </c>
      <c r="AB19" s="172"/>
      <c r="AC19" s="173"/>
      <c r="AD19" s="175">
        <v>690</v>
      </c>
      <c r="AE19" s="176"/>
      <c r="AF19" s="177"/>
      <c r="AG19" s="90"/>
      <c r="AH19" s="120" t="s">
        <v>13</v>
      </c>
      <c r="AI19" s="57" t="s">
        <v>115</v>
      </c>
      <c r="AJ19" s="140">
        <v>616</v>
      </c>
      <c r="AK19" s="141"/>
      <c r="AL19" s="142"/>
    </row>
    <row r="20" spans="2:38" ht="18" customHeight="1" x14ac:dyDescent="0.35">
      <c r="B20" s="89" t="s">
        <v>17</v>
      </c>
      <c r="C20" s="143" t="s">
        <v>20</v>
      </c>
      <c r="D20" s="22"/>
      <c r="E20" s="144" t="s">
        <v>4</v>
      </c>
      <c r="F20" s="145"/>
      <c r="G20" s="145"/>
      <c r="H20" s="145"/>
      <c r="I20" s="145" t="s">
        <v>187</v>
      </c>
      <c r="J20" s="145"/>
      <c r="K20" s="145"/>
      <c r="L20" s="145"/>
      <c r="M20" s="146"/>
      <c r="N20" s="90"/>
      <c r="O20" s="119"/>
      <c r="P20" s="32" t="s">
        <v>131</v>
      </c>
      <c r="Q20" s="80">
        <v>6072</v>
      </c>
      <c r="R20" s="81"/>
      <c r="S20" s="82"/>
      <c r="U20" s="89" t="s">
        <v>17</v>
      </c>
      <c r="V20" s="143" t="s">
        <v>20</v>
      </c>
      <c r="W20" s="22"/>
      <c r="X20" s="115" t="s">
        <v>4</v>
      </c>
      <c r="Y20" s="116"/>
      <c r="Z20" s="116"/>
      <c r="AA20" s="118"/>
      <c r="AB20" s="187" t="s">
        <v>5</v>
      </c>
      <c r="AC20" s="116"/>
      <c r="AD20" s="116"/>
      <c r="AE20" s="118"/>
      <c r="AF20" s="188"/>
      <c r="AG20" s="90"/>
      <c r="AH20" s="121"/>
      <c r="AI20" s="57" t="s">
        <v>131</v>
      </c>
      <c r="AJ20" s="109">
        <v>6072</v>
      </c>
      <c r="AK20" s="110"/>
      <c r="AL20" s="111"/>
    </row>
    <row r="21" spans="2:38" ht="18" customHeight="1" x14ac:dyDescent="0.35">
      <c r="B21" s="90"/>
      <c r="C21" s="121"/>
      <c r="D21" s="30" t="s">
        <v>18</v>
      </c>
      <c r="E21" s="80">
        <v>0.42</v>
      </c>
      <c r="F21" s="81"/>
      <c r="G21" s="81"/>
      <c r="H21" s="81"/>
      <c r="I21" s="81">
        <v>0.25</v>
      </c>
      <c r="J21" s="81"/>
      <c r="K21" s="81"/>
      <c r="L21" s="81"/>
      <c r="M21" s="147"/>
      <c r="N21" s="90"/>
      <c r="O21" s="119"/>
      <c r="P21" s="32" t="s">
        <v>142</v>
      </c>
      <c r="Q21" s="80">
        <v>217</v>
      </c>
      <c r="R21" s="81"/>
      <c r="S21" s="82"/>
      <c r="U21" s="90"/>
      <c r="V21" s="121"/>
      <c r="W21" s="30" t="s">
        <v>18</v>
      </c>
      <c r="X21" s="109">
        <v>0.05</v>
      </c>
      <c r="Y21" s="110"/>
      <c r="Z21" s="110"/>
      <c r="AA21" s="119"/>
      <c r="AB21" s="136">
        <v>0.08</v>
      </c>
      <c r="AC21" s="110"/>
      <c r="AD21" s="110"/>
      <c r="AE21" s="119"/>
      <c r="AF21" s="189"/>
      <c r="AG21" s="90"/>
      <c r="AH21" s="121"/>
      <c r="AI21" s="57" t="s">
        <v>142</v>
      </c>
      <c r="AJ21" s="109">
        <v>217</v>
      </c>
      <c r="AK21" s="110"/>
      <c r="AL21" s="111"/>
    </row>
    <row r="22" spans="2:38" ht="18" customHeight="1" x14ac:dyDescent="0.35">
      <c r="B22" s="90"/>
      <c r="C22" s="121"/>
      <c r="D22" s="33" t="s">
        <v>133</v>
      </c>
      <c r="E22" s="80">
        <v>6716000</v>
      </c>
      <c r="F22" s="81"/>
      <c r="G22" s="81"/>
      <c r="H22" s="81"/>
      <c r="I22" s="81"/>
      <c r="J22" s="81"/>
      <c r="K22" s="81"/>
      <c r="L22" s="81"/>
      <c r="M22" s="147"/>
      <c r="N22" s="90"/>
      <c r="O22" s="119"/>
      <c r="P22" s="32" t="s">
        <v>116</v>
      </c>
      <c r="Q22" s="80">
        <v>1316</v>
      </c>
      <c r="R22" s="81"/>
      <c r="S22" s="82"/>
      <c r="U22" s="90"/>
      <c r="V22" s="121"/>
      <c r="W22" s="56" t="s">
        <v>133</v>
      </c>
      <c r="X22" s="109">
        <v>6751040</v>
      </c>
      <c r="Y22" s="110"/>
      <c r="Z22" s="110"/>
      <c r="AA22" s="110"/>
      <c r="AB22" s="110"/>
      <c r="AC22" s="110"/>
      <c r="AD22" s="110"/>
      <c r="AE22" s="119"/>
      <c r="AF22" s="189"/>
      <c r="AG22" s="90"/>
      <c r="AH22" s="121"/>
      <c r="AI22" s="57" t="s">
        <v>116</v>
      </c>
      <c r="AJ22" s="109">
        <v>1316</v>
      </c>
      <c r="AK22" s="110"/>
      <c r="AL22" s="111"/>
    </row>
    <row r="23" spans="2:38" ht="18" customHeight="1" x14ac:dyDescent="0.35">
      <c r="B23" s="90"/>
      <c r="C23" s="121"/>
      <c r="D23" s="33" t="s">
        <v>19</v>
      </c>
      <c r="E23" s="80">
        <v>1.08</v>
      </c>
      <c r="F23" s="81"/>
      <c r="G23" s="81"/>
      <c r="H23" s="81"/>
      <c r="I23" s="81"/>
      <c r="J23" s="81"/>
      <c r="K23" s="81"/>
      <c r="L23" s="81"/>
      <c r="M23" s="147"/>
      <c r="N23" s="90"/>
      <c r="O23" s="119"/>
      <c r="P23" s="32" t="s">
        <v>132</v>
      </c>
      <c r="Q23" s="80">
        <v>5920</v>
      </c>
      <c r="R23" s="81"/>
      <c r="S23" s="82"/>
      <c r="U23" s="90"/>
      <c r="V23" s="121"/>
      <c r="W23" s="56" t="s">
        <v>19</v>
      </c>
      <c r="X23" s="109">
        <v>1.0900000000000001</v>
      </c>
      <c r="Y23" s="110"/>
      <c r="Z23" s="110"/>
      <c r="AA23" s="110"/>
      <c r="AB23" s="110"/>
      <c r="AC23" s="110"/>
      <c r="AD23" s="110"/>
      <c r="AE23" s="119"/>
      <c r="AF23" s="189"/>
      <c r="AG23" s="90"/>
      <c r="AH23" s="121"/>
      <c r="AI23" s="57" t="s">
        <v>132</v>
      </c>
      <c r="AJ23" s="109">
        <v>5920</v>
      </c>
      <c r="AK23" s="110"/>
      <c r="AL23" s="111"/>
    </row>
    <row r="24" spans="2:38" ht="18" customHeight="1" x14ac:dyDescent="0.35">
      <c r="B24" s="90"/>
      <c r="C24" s="121"/>
      <c r="D24" s="33" t="s">
        <v>119</v>
      </c>
      <c r="E24" s="80">
        <v>179</v>
      </c>
      <c r="F24" s="81"/>
      <c r="G24" s="81"/>
      <c r="H24" s="81"/>
      <c r="I24" s="81">
        <v>919</v>
      </c>
      <c r="J24" s="81"/>
      <c r="K24" s="81"/>
      <c r="L24" s="81"/>
      <c r="M24" s="147"/>
      <c r="N24" s="90"/>
      <c r="O24" s="119"/>
      <c r="P24" s="32" t="s">
        <v>143</v>
      </c>
      <c r="Q24" s="80">
        <v>208.6</v>
      </c>
      <c r="R24" s="81"/>
      <c r="S24" s="82"/>
      <c r="U24" s="90"/>
      <c r="V24" s="121"/>
      <c r="W24" s="56" t="s">
        <v>119</v>
      </c>
      <c r="X24" s="109">
        <v>256</v>
      </c>
      <c r="Y24" s="110"/>
      <c r="Z24" s="110"/>
      <c r="AA24" s="119"/>
      <c r="AB24" s="136">
        <v>1050</v>
      </c>
      <c r="AC24" s="110"/>
      <c r="AD24" s="110"/>
      <c r="AE24" s="119"/>
      <c r="AF24" s="189"/>
      <c r="AG24" s="90"/>
      <c r="AH24" s="121"/>
      <c r="AI24" s="57" t="s">
        <v>143</v>
      </c>
      <c r="AJ24" s="109">
        <v>208.6</v>
      </c>
      <c r="AK24" s="110"/>
      <c r="AL24" s="111"/>
    </row>
    <row r="25" spans="2:38" ht="18" customHeight="1" thickBot="1" x14ac:dyDescent="0.4">
      <c r="B25" s="90"/>
      <c r="C25" s="121"/>
      <c r="D25" s="33" t="s">
        <v>120</v>
      </c>
      <c r="E25" s="83">
        <v>701</v>
      </c>
      <c r="F25" s="84"/>
      <c r="G25" s="84"/>
      <c r="H25" s="84"/>
      <c r="I25" s="84">
        <v>1125</v>
      </c>
      <c r="J25" s="84"/>
      <c r="K25" s="84"/>
      <c r="L25" s="84"/>
      <c r="M25" s="147"/>
      <c r="N25" s="90"/>
      <c r="O25" s="203"/>
      <c r="P25" s="32" t="s">
        <v>117</v>
      </c>
      <c r="Q25" s="83">
        <v>1235</v>
      </c>
      <c r="R25" s="84"/>
      <c r="S25" s="85"/>
      <c r="U25" s="90"/>
      <c r="V25" s="121"/>
      <c r="W25" s="56" t="s">
        <v>120</v>
      </c>
      <c r="X25" s="149">
        <v>770</v>
      </c>
      <c r="Y25" s="150"/>
      <c r="Z25" s="150"/>
      <c r="AA25" s="191"/>
      <c r="AB25" s="192">
        <v>1153</v>
      </c>
      <c r="AC25" s="150"/>
      <c r="AD25" s="150"/>
      <c r="AE25" s="191"/>
      <c r="AF25" s="189"/>
      <c r="AG25" s="90"/>
      <c r="AH25" s="121"/>
      <c r="AI25" s="57" t="s">
        <v>117</v>
      </c>
      <c r="AJ25" s="149">
        <v>1235</v>
      </c>
      <c r="AK25" s="150"/>
      <c r="AL25" s="151"/>
    </row>
    <row r="26" spans="2:38" ht="18" customHeight="1" thickTop="1" thickBot="1" x14ac:dyDescent="0.4">
      <c r="B26" s="90"/>
      <c r="C26" s="121"/>
      <c r="D26" s="37" t="s">
        <v>121</v>
      </c>
      <c r="E26" s="86" t="s">
        <v>321</v>
      </c>
      <c r="F26" s="87"/>
      <c r="G26" s="87"/>
      <c r="H26" s="88"/>
      <c r="I26" s="86" t="s">
        <v>324</v>
      </c>
      <c r="J26" s="87"/>
      <c r="K26" s="87"/>
      <c r="L26" s="88"/>
      <c r="M26" s="148"/>
      <c r="N26" s="90"/>
      <c r="O26" s="203"/>
      <c r="P26" s="40" t="s">
        <v>118</v>
      </c>
      <c r="Q26" s="86" t="s">
        <v>320</v>
      </c>
      <c r="R26" s="87"/>
      <c r="S26" s="88"/>
      <c r="U26" s="91"/>
      <c r="V26" s="122"/>
      <c r="W26" s="37" t="s">
        <v>121</v>
      </c>
      <c r="X26" s="152" t="s">
        <v>318</v>
      </c>
      <c r="Y26" s="153"/>
      <c r="Z26" s="153"/>
      <c r="AA26" s="154"/>
      <c r="AB26" s="152" t="s">
        <v>323</v>
      </c>
      <c r="AC26" s="153"/>
      <c r="AD26" s="153"/>
      <c r="AE26" s="154"/>
      <c r="AF26" s="190"/>
      <c r="AG26" s="91"/>
      <c r="AH26" s="122"/>
      <c r="AI26" s="40" t="s">
        <v>118</v>
      </c>
      <c r="AJ26" s="152" t="s">
        <v>322</v>
      </c>
      <c r="AK26" s="153"/>
      <c r="AL26" s="154"/>
    </row>
    <row r="27" spans="2:38" ht="18" customHeight="1" thickTop="1" x14ac:dyDescent="0.2">
      <c r="B27" s="71" t="s">
        <v>129</v>
      </c>
      <c r="C27" s="74" t="s">
        <v>21</v>
      </c>
      <c r="D27" s="34" t="s">
        <v>18</v>
      </c>
      <c r="E27" s="77">
        <v>0.05</v>
      </c>
      <c r="F27" s="78"/>
      <c r="G27" s="78"/>
      <c r="H27" s="78"/>
      <c r="I27" s="78"/>
      <c r="J27" s="78"/>
      <c r="K27" s="78"/>
      <c r="L27" s="78"/>
      <c r="M27" s="79"/>
      <c r="N27" s="195" t="s">
        <v>99</v>
      </c>
      <c r="O27" s="196"/>
      <c r="P27" s="102"/>
      <c r="Q27" s="103"/>
      <c r="R27" s="103"/>
      <c r="S27" s="104"/>
      <c r="U27" s="71" t="s">
        <v>129</v>
      </c>
      <c r="V27" s="74" t="s">
        <v>21</v>
      </c>
      <c r="W27" s="34" t="s">
        <v>18</v>
      </c>
      <c r="X27" s="77">
        <v>7.0000000000000007E-2</v>
      </c>
      <c r="Y27" s="78"/>
      <c r="Z27" s="78"/>
      <c r="AA27" s="78"/>
      <c r="AB27" s="78"/>
      <c r="AC27" s="78"/>
      <c r="AD27" s="78"/>
      <c r="AE27" s="78"/>
      <c r="AF27" s="79"/>
      <c r="AG27" s="195" t="s">
        <v>99</v>
      </c>
      <c r="AH27" s="196"/>
      <c r="AI27" s="102"/>
      <c r="AJ27" s="103"/>
      <c r="AK27" s="103"/>
      <c r="AL27" s="104"/>
    </row>
    <row r="28" spans="2:38" ht="18" customHeight="1" x14ac:dyDescent="0.35">
      <c r="B28" s="72"/>
      <c r="C28" s="75"/>
      <c r="D28" s="32" t="s">
        <v>122</v>
      </c>
      <c r="E28" s="80">
        <v>1</v>
      </c>
      <c r="F28" s="81"/>
      <c r="G28" s="81"/>
      <c r="H28" s="81"/>
      <c r="I28" s="81"/>
      <c r="J28" s="81"/>
      <c r="K28" s="81"/>
      <c r="L28" s="81"/>
      <c r="M28" s="82"/>
      <c r="N28" s="197"/>
      <c r="O28" s="198"/>
      <c r="P28" s="105"/>
      <c r="Q28" s="103"/>
      <c r="R28" s="103"/>
      <c r="S28" s="104"/>
      <c r="U28" s="72"/>
      <c r="V28" s="75"/>
      <c r="W28" s="32" t="s">
        <v>122</v>
      </c>
      <c r="X28" s="80">
        <v>1</v>
      </c>
      <c r="Y28" s="81"/>
      <c r="Z28" s="81"/>
      <c r="AA28" s="81"/>
      <c r="AB28" s="81"/>
      <c r="AC28" s="81"/>
      <c r="AD28" s="81"/>
      <c r="AE28" s="81"/>
      <c r="AF28" s="82"/>
      <c r="AG28" s="197"/>
      <c r="AH28" s="198"/>
      <c r="AI28" s="105"/>
      <c r="AJ28" s="103"/>
      <c r="AK28" s="103"/>
      <c r="AL28" s="104"/>
    </row>
    <row r="29" spans="2:38" ht="18" customHeight="1" x14ac:dyDescent="0.35">
      <c r="B29" s="72"/>
      <c r="C29" s="75"/>
      <c r="D29" s="32" t="s">
        <v>119</v>
      </c>
      <c r="E29" s="80">
        <v>448</v>
      </c>
      <c r="F29" s="81"/>
      <c r="G29" s="81"/>
      <c r="H29" s="81"/>
      <c r="I29" s="81"/>
      <c r="J29" s="81"/>
      <c r="K29" s="81"/>
      <c r="L29" s="81"/>
      <c r="M29" s="82"/>
      <c r="N29" s="197"/>
      <c r="O29" s="198"/>
      <c r="P29" s="105"/>
      <c r="Q29" s="103"/>
      <c r="R29" s="103"/>
      <c r="S29" s="104"/>
      <c r="U29" s="72"/>
      <c r="V29" s="75"/>
      <c r="W29" s="32" t="s">
        <v>119</v>
      </c>
      <c r="X29" s="80">
        <v>425</v>
      </c>
      <c r="Y29" s="81"/>
      <c r="Z29" s="81"/>
      <c r="AA29" s="81"/>
      <c r="AB29" s="81"/>
      <c r="AC29" s="81"/>
      <c r="AD29" s="81"/>
      <c r="AE29" s="81"/>
      <c r="AF29" s="82"/>
      <c r="AG29" s="197"/>
      <c r="AH29" s="198"/>
      <c r="AI29" s="105"/>
      <c r="AJ29" s="103"/>
      <c r="AK29" s="103"/>
      <c r="AL29" s="104"/>
    </row>
    <row r="30" spans="2:38" ht="18" customHeight="1" thickBot="1" x14ac:dyDescent="0.4">
      <c r="B30" s="72"/>
      <c r="C30" s="75"/>
      <c r="D30" s="32" t="s">
        <v>140</v>
      </c>
      <c r="E30" s="83">
        <v>1260</v>
      </c>
      <c r="F30" s="84"/>
      <c r="G30" s="84"/>
      <c r="H30" s="84"/>
      <c r="I30" s="84"/>
      <c r="J30" s="84"/>
      <c r="K30" s="84"/>
      <c r="L30" s="84"/>
      <c r="M30" s="85"/>
      <c r="N30" s="197"/>
      <c r="O30" s="198"/>
      <c r="P30" s="105"/>
      <c r="Q30" s="103"/>
      <c r="R30" s="103"/>
      <c r="S30" s="104"/>
      <c r="U30" s="72"/>
      <c r="V30" s="75"/>
      <c r="W30" s="32" t="s">
        <v>140</v>
      </c>
      <c r="X30" s="83">
        <v>1267</v>
      </c>
      <c r="Y30" s="84"/>
      <c r="Z30" s="84"/>
      <c r="AA30" s="84"/>
      <c r="AB30" s="84"/>
      <c r="AC30" s="84"/>
      <c r="AD30" s="84"/>
      <c r="AE30" s="84"/>
      <c r="AF30" s="85"/>
      <c r="AG30" s="197"/>
      <c r="AH30" s="198"/>
      <c r="AI30" s="105"/>
      <c r="AJ30" s="103"/>
      <c r="AK30" s="103"/>
      <c r="AL30" s="104"/>
    </row>
    <row r="31" spans="2:38" ht="18" customHeight="1" thickTop="1" thickBot="1" x14ac:dyDescent="0.4">
      <c r="B31" s="72"/>
      <c r="C31" s="76"/>
      <c r="D31" s="36" t="s">
        <v>123</v>
      </c>
      <c r="E31" s="86" t="s">
        <v>315</v>
      </c>
      <c r="F31" s="87"/>
      <c r="G31" s="87"/>
      <c r="H31" s="87"/>
      <c r="I31" s="87"/>
      <c r="J31" s="87"/>
      <c r="K31" s="87"/>
      <c r="L31" s="87"/>
      <c r="M31" s="88"/>
      <c r="N31" s="197"/>
      <c r="O31" s="198"/>
      <c r="P31" s="105"/>
      <c r="Q31" s="103"/>
      <c r="R31" s="103"/>
      <c r="S31" s="104"/>
      <c r="U31" s="72"/>
      <c r="V31" s="76"/>
      <c r="W31" s="36" t="s">
        <v>123</v>
      </c>
      <c r="X31" s="86" t="s">
        <v>319</v>
      </c>
      <c r="Y31" s="87"/>
      <c r="Z31" s="87"/>
      <c r="AA31" s="87"/>
      <c r="AB31" s="87"/>
      <c r="AC31" s="87"/>
      <c r="AD31" s="87"/>
      <c r="AE31" s="87"/>
      <c r="AF31" s="88"/>
      <c r="AG31" s="197"/>
      <c r="AH31" s="198"/>
      <c r="AI31" s="105"/>
      <c r="AJ31" s="103"/>
      <c r="AK31" s="103"/>
      <c r="AL31" s="104"/>
    </row>
    <row r="32" spans="2:38" ht="18" customHeight="1" thickTop="1" x14ac:dyDescent="0.35">
      <c r="B32" s="72"/>
      <c r="C32" s="201" t="s">
        <v>124</v>
      </c>
      <c r="D32" s="202"/>
      <c r="E32" s="140">
        <v>530</v>
      </c>
      <c r="F32" s="141"/>
      <c r="G32" s="141"/>
      <c r="H32" s="141"/>
      <c r="I32" s="141"/>
      <c r="J32" s="141"/>
      <c r="K32" s="141"/>
      <c r="L32" s="141"/>
      <c r="M32" s="142"/>
      <c r="N32" s="197"/>
      <c r="O32" s="198"/>
      <c r="P32" s="105"/>
      <c r="Q32" s="103"/>
      <c r="R32" s="103"/>
      <c r="S32" s="104"/>
      <c r="U32" s="72"/>
      <c r="V32" s="201" t="s">
        <v>124</v>
      </c>
      <c r="W32" s="202"/>
      <c r="X32" s="140">
        <v>501</v>
      </c>
      <c r="Y32" s="141"/>
      <c r="Z32" s="141"/>
      <c r="AA32" s="141"/>
      <c r="AB32" s="141"/>
      <c r="AC32" s="141"/>
      <c r="AD32" s="141"/>
      <c r="AE32" s="141"/>
      <c r="AF32" s="142"/>
      <c r="AG32" s="197"/>
      <c r="AH32" s="198"/>
      <c r="AI32" s="105"/>
      <c r="AJ32" s="103"/>
      <c r="AK32" s="103"/>
      <c r="AL32" s="104"/>
    </row>
    <row r="33" spans="1:58" ht="18" customHeight="1" x14ac:dyDescent="0.35">
      <c r="B33" s="72"/>
      <c r="C33" s="92" t="s">
        <v>125</v>
      </c>
      <c r="D33" s="93"/>
      <c r="E33" s="109">
        <v>3615</v>
      </c>
      <c r="F33" s="110"/>
      <c r="G33" s="110"/>
      <c r="H33" s="110"/>
      <c r="I33" s="110"/>
      <c r="J33" s="110"/>
      <c r="K33" s="110"/>
      <c r="L33" s="110"/>
      <c r="M33" s="111"/>
      <c r="N33" s="197"/>
      <c r="O33" s="198"/>
      <c r="P33" s="105"/>
      <c r="Q33" s="103"/>
      <c r="R33" s="103"/>
      <c r="S33" s="104"/>
      <c r="U33" s="72"/>
      <c r="V33" s="92" t="s">
        <v>125</v>
      </c>
      <c r="W33" s="93"/>
      <c r="X33" s="109">
        <v>3309</v>
      </c>
      <c r="Y33" s="110"/>
      <c r="Z33" s="110"/>
      <c r="AA33" s="110"/>
      <c r="AB33" s="110"/>
      <c r="AC33" s="110"/>
      <c r="AD33" s="110"/>
      <c r="AE33" s="110"/>
      <c r="AF33" s="111"/>
      <c r="AG33" s="197"/>
      <c r="AH33" s="198"/>
      <c r="AI33" s="105"/>
      <c r="AJ33" s="103"/>
      <c r="AK33" s="103"/>
      <c r="AL33" s="104"/>
    </row>
    <row r="34" spans="1:58" ht="18" customHeight="1" x14ac:dyDescent="0.35">
      <c r="B34" s="72"/>
      <c r="C34" s="92" t="s">
        <v>126</v>
      </c>
      <c r="D34" s="93"/>
      <c r="E34" s="109">
        <v>1260</v>
      </c>
      <c r="F34" s="110"/>
      <c r="G34" s="110"/>
      <c r="H34" s="110"/>
      <c r="I34" s="110"/>
      <c r="J34" s="110"/>
      <c r="K34" s="110"/>
      <c r="L34" s="110"/>
      <c r="M34" s="111"/>
      <c r="N34" s="197"/>
      <c r="O34" s="198"/>
      <c r="P34" s="105"/>
      <c r="Q34" s="103"/>
      <c r="R34" s="103"/>
      <c r="S34" s="104"/>
      <c r="U34" s="72"/>
      <c r="V34" s="92" t="s">
        <v>126</v>
      </c>
      <c r="W34" s="93"/>
      <c r="X34" s="109">
        <v>1267</v>
      </c>
      <c r="Y34" s="110"/>
      <c r="Z34" s="110"/>
      <c r="AA34" s="110"/>
      <c r="AB34" s="110"/>
      <c r="AC34" s="110"/>
      <c r="AD34" s="110"/>
      <c r="AE34" s="110"/>
      <c r="AF34" s="111"/>
      <c r="AG34" s="197"/>
      <c r="AH34" s="198"/>
      <c r="AI34" s="105"/>
      <c r="AJ34" s="103"/>
      <c r="AK34" s="103"/>
      <c r="AL34" s="104"/>
    </row>
    <row r="35" spans="1:58" ht="18" customHeight="1" x14ac:dyDescent="0.35">
      <c r="B35" s="72"/>
      <c r="C35" s="92" t="s">
        <v>127</v>
      </c>
      <c r="D35" s="93"/>
      <c r="E35" s="109">
        <v>2.38</v>
      </c>
      <c r="F35" s="110"/>
      <c r="G35" s="110"/>
      <c r="H35" s="110"/>
      <c r="I35" s="110"/>
      <c r="J35" s="110"/>
      <c r="K35" s="110"/>
      <c r="L35" s="110"/>
      <c r="M35" s="111"/>
      <c r="N35" s="197"/>
      <c r="O35" s="198"/>
      <c r="P35" s="105"/>
      <c r="Q35" s="103"/>
      <c r="R35" s="103"/>
      <c r="S35" s="104"/>
      <c r="U35" s="72"/>
      <c r="V35" s="92" t="s">
        <v>127</v>
      </c>
      <c r="W35" s="93"/>
      <c r="X35" s="109">
        <v>2.5299999999999998</v>
      </c>
      <c r="Y35" s="110"/>
      <c r="Z35" s="110"/>
      <c r="AA35" s="110"/>
      <c r="AB35" s="110"/>
      <c r="AC35" s="110"/>
      <c r="AD35" s="110"/>
      <c r="AE35" s="110"/>
      <c r="AF35" s="111"/>
      <c r="AG35" s="197"/>
      <c r="AH35" s="198"/>
      <c r="AI35" s="105"/>
      <c r="AJ35" s="103"/>
      <c r="AK35" s="103"/>
      <c r="AL35" s="104"/>
    </row>
    <row r="36" spans="1:58" ht="18" customHeight="1" thickBot="1" x14ac:dyDescent="0.4">
      <c r="B36" s="73"/>
      <c r="C36" s="193" t="s">
        <v>128</v>
      </c>
      <c r="D36" s="194"/>
      <c r="E36" s="112">
        <v>6.82</v>
      </c>
      <c r="F36" s="113"/>
      <c r="G36" s="113"/>
      <c r="H36" s="113"/>
      <c r="I36" s="113"/>
      <c r="J36" s="113"/>
      <c r="K36" s="113"/>
      <c r="L36" s="113"/>
      <c r="M36" s="114"/>
      <c r="N36" s="199"/>
      <c r="O36" s="200"/>
      <c r="P36" s="106"/>
      <c r="Q36" s="107"/>
      <c r="R36" s="107"/>
      <c r="S36" s="108"/>
      <c r="U36" s="73"/>
      <c r="V36" s="193" t="s">
        <v>128</v>
      </c>
      <c r="W36" s="194"/>
      <c r="X36" s="112">
        <v>6.61</v>
      </c>
      <c r="Y36" s="113"/>
      <c r="Z36" s="113"/>
      <c r="AA36" s="113"/>
      <c r="AB36" s="113"/>
      <c r="AC36" s="113"/>
      <c r="AD36" s="113"/>
      <c r="AE36" s="113"/>
      <c r="AF36" s="114"/>
      <c r="AG36" s="199"/>
      <c r="AH36" s="200"/>
      <c r="AI36" s="106"/>
      <c r="AJ36" s="107"/>
      <c r="AK36" s="107"/>
      <c r="AL36" s="108"/>
    </row>
    <row r="41" spans="1:58" ht="18" customHeight="1" x14ac:dyDescent="0.2">
      <c r="A41" s="51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  <c r="AP41" s="51"/>
      <c r="AQ41" s="51"/>
      <c r="AR41" s="51"/>
      <c r="AS41" s="51"/>
      <c r="AT41" s="51"/>
      <c r="AU41" s="51"/>
      <c r="AV41" s="51"/>
      <c r="AW41" s="51"/>
      <c r="AX41" s="51"/>
      <c r="AY41" s="51"/>
      <c r="AZ41" s="51"/>
      <c r="BA41" s="51"/>
      <c r="BB41" s="51"/>
      <c r="BC41" s="51"/>
      <c r="BD41" s="51"/>
      <c r="BE41" s="51"/>
      <c r="BF41" s="51"/>
    </row>
    <row r="42" spans="1:58" ht="18" customHeight="1" x14ac:dyDescent="0.2">
      <c r="A42" s="51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  <c r="BC42" s="51"/>
      <c r="BD42" s="51"/>
      <c r="BE42" s="51"/>
      <c r="BF42" s="51"/>
    </row>
    <row r="43" spans="1:58" ht="18" customHeight="1" x14ac:dyDescent="0.2">
      <c r="A43" s="51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  <c r="BC43" s="51"/>
      <c r="BD43" s="51"/>
      <c r="BE43" s="51"/>
      <c r="BF43" s="51"/>
    </row>
    <row r="44" spans="1:58" ht="18" customHeight="1" x14ac:dyDescent="0.2">
      <c r="A44" s="51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  <c r="BC44" s="51"/>
      <c r="BD44" s="51"/>
      <c r="BE44" s="51"/>
      <c r="BF44" s="51"/>
    </row>
    <row r="45" spans="1:58" ht="18" customHeight="1" x14ac:dyDescent="0.2">
      <c r="A45" s="51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  <c r="BC45" s="51"/>
      <c r="BD45" s="51"/>
      <c r="BE45" s="51"/>
      <c r="BF45" s="51"/>
    </row>
    <row r="46" spans="1:58" ht="18" customHeight="1" x14ac:dyDescent="0.2">
      <c r="A46" s="51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1"/>
      <c r="BE46" s="51"/>
      <c r="BF46" s="51"/>
    </row>
    <row r="47" spans="1:58" ht="18" customHeight="1" x14ac:dyDescent="0.2">
      <c r="A47" s="51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  <c r="BC47" s="51"/>
      <c r="BD47" s="51"/>
      <c r="BE47" s="51"/>
      <c r="BF47" s="51"/>
    </row>
    <row r="48" spans="1:58" ht="18" customHeight="1" x14ac:dyDescent="0.2">
      <c r="A48" s="51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  <c r="AR48" s="51"/>
      <c r="AS48" s="51"/>
      <c r="AT48" s="51"/>
      <c r="AU48" s="51"/>
      <c r="AV48" s="51"/>
      <c r="AW48" s="51"/>
      <c r="AX48" s="51"/>
      <c r="AY48" s="51"/>
      <c r="AZ48" s="51"/>
      <c r="BA48" s="51"/>
      <c r="BB48" s="51"/>
      <c r="BC48" s="51"/>
      <c r="BD48" s="51"/>
      <c r="BE48" s="51"/>
      <c r="BF48" s="51"/>
    </row>
    <row r="49" spans="1:58" ht="18" customHeight="1" x14ac:dyDescent="0.2">
      <c r="A49" s="51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  <c r="BC49" s="51"/>
      <c r="BD49" s="51"/>
      <c r="BE49" s="51"/>
      <c r="BF49" s="51"/>
    </row>
    <row r="50" spans="1:58" ht="18" customHeight="1" x14ac:dyDescent="0.2">
      <c r="A50" s="51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  <c r="BC50" s="51"/>
      <c r="BD50" s="51"/>
      <c r="BE50" s="51"/>
      <c r="BF50" s="51"/>
    </row>
    <row r="51" spans="1:58" ht="18" customHeight="1" x14ac:dyDescent="0.2">
      <c r="A51" s="51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1"/>
      <c r="AW51" s="51"/>
      <c r="AX51" s="51"/>
      <c r="AY51" s="51"/>
      <c r="AZ51" s="51"/>
      <c r="BA51" s="51"/>
      <c r="BB51" s="51"/>
      <c r="BC51" s="51"/>
      <c r="BD51" s="51"/>
      <c r="BE51" s="51"/>
      <c r="BF51" s="51"/>
    </row>
    <row r="52" spans="1:58" ht="18" customHeight="1" x14ac:dyDescent="0.2">
      <c r="A52" s="51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</row>
    <row r="53" spans="1:58" ht="18" customHeight="1" x14ac:dyDescent="0.2">
      <c r="A53" s="51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</row>
    <row r="54" spans="1:58" ht="18" customHeight="1" x14ac:dyDescent="0.2">
      <c r="A54" s="51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</row>
    <row r="55" spans="1:58" ht="18" customHeight="1" x14ac:dyDescent="0.2">
      <c r="A55" s="51"/>
      <c r="B55" s="51"/>
      <c r="C55" s="51"/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</row>
    <row r="56" spans="1:58" ht="18" customHeight="1" x14ac:dyDescent="0.2">
      <c r="A56" s="51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</row>
    <row r="57" spans="1:58" ht="18" customHeight="1" x14ac:dyDescent="0.2">
      <c r="A57" s="51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  <c r="BC57" s="51"/>
      <c r="BD57" s="51"/>
      <c r="BE57" s="51"/>
      <c r="BF57" s="51"/>
    </row>
    <row r="58" spans="1:58" ht="18" customHeight="1" x14ac:dyDescent="0.2">
      <c r="A58" s="51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  <c r="AE58" s="51"/>
      <c r="AF58" s="51"/>
      <c r="AG58" s="51"/>
      <c r="AH58" s="51"/>
      <c r="AI58" s="51"/>
      <c r="AJ58" s="51"/>
      <c r="AK58" s="51"/>
      <c r="AL58" s="51"/>
      <c r="AM58" s="51"/>
      <c r="AN58" s="51"/>
      <c r="AO58" s="51"/>
      <c r="AP58" s="51"/>
      <c r="AQ58" s="51"/>
      <c r="AR58" s="51"/>
      <c r="AS58" s="51"/>
      <c r="AT58" s="51"/>
      <c r="AU58" s="51"/>
      <c r="AV58" s="51"/>
      <c r="AW58" s="51"/>
      <c r="AX58" s="51"/>
      <c r="AY58" s="51"/>
      <c r="AZ58" s="51"/>
      <c r="BA58" s="51"/>
      <c r="BB58" s="51"/>
      <c r="BC58" s="51"/>
      <c r="BD58" s="51"/>
      <c r="BE58" s="51"/>
      <c r="BF58" s="51"/>
    </row>
    <row r="59" spans="1:58" ht="18" customHeight="1" x14ac:dyDescent="0.2">
      <c r="A59" s="51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51"/>
      <c r="AF59" s="51"/>
      <c r="AG59" s="51"/>
      <c r="AH59" s="51"/>
      <c r="AI59" s="51"/>
      <c r="AJ59" s="51"/>
      <c r="AK59" s="51"/>
      <c r="AL59" s="51"/>
      <c r="AM59" s="51"/>
      <c r="AN59" s="51"/>
      <c r="AO59" s="51"/>
      <c r="AP59" s="51"/>
      <c r="AQ59" s="51"/>
      <c r="AR59" s="51"/>
      <c r="AS59" s="51"/>
      <c r="AT59" s="51"/>
      <c r="AU59" s="51"/>
      <c r="AV59" s="51"/>
      <c r="AW59" s="51"/>
      <c r="AX59" s="51"/>
      <c r="AY59" s="51"/>
      <c r="AZ59" s="51"/>
      <c r="BA59" s="51"/>
      <c r="BB59" s="51"/>
      <c r="BC59" s="51"/>
      <c r="BD59" s="51"/>
      <c r="BE59" s="51"/>
      <c r="BF59" s="51"/>
    </row>
    <row r="60" spans="1:58" ht="18" customHeight="1" x14ac:dyDescent="0.2">
      <c r="A60" s="51"/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1"/>
      <c r="AE60" s="51"/>
      <c r="AF60" s="51"/>
      <c r="AG60" s="51"/>
      <c r="AH60" s="51"/>
      <c r="AI60" s="51"/>
      <c r="AJ60" s="51"/>
      <c r="AK60" s="51"/>
      <c r="AL60" s="51"/>
      <c r="AM60" s="51"/>
      <c r="AN60" s="51"/>
      <c r="AO60" s="51"/>
      <c r="AP60" s="51"/>
      <c r="AQ60" s="51"/>
      <c r="AR60" s="51"/>
      <c r="AS60" s="51"/>
      <c r="AT60" s="51"/>
      <c r="AU60" s="51"/>
      <c r="AV60" s="51"/>
      <c r="AW60" s="51"/>
      <c r="AX60" s="51"/>
      <c r="AY60" s="51"/>
      <c r="AZ60" s="51"/>
      <c r="BA60" s="51"/>
      <c r="BB60" s="51"/>
      <c r="BC60" s="51"/>
      <c r="BD60" s="51"/>
      <c r="BE60" s="51"/>
      <c r="BF60" s="51"/>
    </row>
    <row r="61" spans="1:58" ht="18" customHeight="1" x14ac:dyDescent="0.2">
      <c r="A61" s="51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  <c r="BC61" s="51"/>
      <c r="BD61" s="51"/>
      <c r="BE61" s="51"/>
      <c r="BF61" s="51"/>
    </row>
    <row r="62" spans="1:58" ht="18" customHeight="1" x14ac:dyDescent="0.2">
      <c r="A62" s="51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1"/>
      <c r="AE62" s="51"/>
      <c r="AF62" s="51"/>
      <c r="AG62" s="51"/>
      <c r="AH62" s="51"/>
      <c r="AI62" s="51"/>
      <c r="AJ62" s="51"/>
      <c r="AK62" s="51"/>
      <c r="AL62" s="51"/>
      <c r="AM62" s="51"/>
      <c r="AN62" s="51"/>
      <c r="AO62" s="51"/>
      <c r="AP62" s="51"/>
      <c r="AQ62" s="51"/>
      <c r="AR62" s="51"/>
      <c r="AS62" s="51"/>
      <c r="AT62" s="51"/>
      <c r="AU62" s="51"/>
      <c r="AV62" s="51"/>
      <c r="AW62" s="51"/>
      <c r="AX62" s="51"/>
      <c r="AY62" s="51"/>
      <c r="AZ62" s="51"/>
      <c r="BA62" s="51"/>
      <c r="BB62" s="51"/>
      <c r="BC62" s="51"/>
      <c r="BD62" s="51"/>
      <c r="BE62" s="51"/>
      <c r="BF62" s="51"/>
    </row>
    <row r="63" spans="1:58" ht="18" customHeight="1" x14ac:dyDescent="0.2">
      <c r="A63" s="51"/>
      <c r="B63" s="51"/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  <c r="AX63" s="51"/>
      <c r="AY63" s="51"/>
      <c r="AZ63" s="51"/>
      <c r="BA63" s="51"/>
      <c r="BB63" s="51"/>
      <c r="BC63" s="51"/>
      <c r="BD63" s="51"/>
      <c r="BE63" s="51"/>
      <c r="BF63" s="51"/>
    </row>
    <row r="64" spans="1:58" ht="18" customHeight="1" x14ac:dyDescent="0.2">
      <c r="A64" s="51"/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  <c r="AN64" s="51"/>
      <c r="AO64" s="51"/>
      <c r="AP64" s="51"/>
      <c r="AQ64" s="51"/>
      <c r="AR64" s="51"/>
      <c r="AS64" s="51"/>
      <c r="AT64" s="51"/>
      <c r="AU64" s="51"/>
      <c r="AV64" s="51"/>
      <c r="AW64" s="51"/>
      <c r="AX64" s="51"/>
      <c r="AY64" s="51"/>
      <c r="AZ64" s="51"/>
      <c r="BA64" s="51"/>
      <c r="BB64" s="51"/>
      <c r="BC64" s="51"/>
      <c r="BD64" s="51"/>
      <c r="BE64" s="51"/>
      <c r="BF64" s="51"/>
    </row>
    <row r="65" spans="1:58" ht="18" customHeight="1" x14ac:dyDescent="0.2">
      <c r="A65" s="51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  <c r="BC65" s="51"/>
      <c r="BD65" s="51"/>
      <c r="BE65" s="51"/>
      <c r="BF65" s="51"/>
    </row>
    <row r="66" spans="1:58" ht="18" customHeight="1" x14ac:dyDescent="0.2">
      <c r="A66" s="51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  <c r="BC66" s="51"/>
      <c r="BD66" s="51"/>
      <c r="BE66" s="51"/>
      <c r="BF66" s="51"/>
    </row>
    <row r="67" spans="1:58" ht="18" customHeight="1" x14ac:dyDescent="0.2">
      <c r="A67" s="51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51"/>
      <c r="AG67" s="51"/>
      <c r="AH67" s="51"/>
      <c r="AI67" s="51"/>
      <c r="AJ67" s="51"/>
      <c r="AK67" s="51"/>
      <c r="AL67" s="51"/>
      <c r="AM67" s="51"/>
      <c r="AN67" s="51"/>
      <c r="AO67" s="51"/>
      <c r="AP67" s="51"/>
      <c r="AQ67" s="51"/>
      <c r="AR67" s="51"/>
      <c r="AS67" s="51"/>
      <c r="AT67" s="51"/>
      <c r="AU67" s="51"/>
      <c r="AV67" s="51"/>
      <c r="AW67" s="51"/>
      <c r="AX67" s="51"/>
      <c r="AY67" s="51"/>
      <c r="AZ67" s="51"/>
      <c r="BA67" s="51"/>
      <c r="BB67" s="51"/>
      <c r="BC67" s="51"/>
      <c r="BD67" s="51"/>
      <c r="BE67" s="51"/>
      <c r="BF67" s="51"/>
    </row>
    <row r="68" spans="1:58" ht="18" customHeight="1" x14ac:dyDescent="0.2">
      <c r="A68" s="51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  <c r="BC68" s="51"/>
      <c r="BD68" s="51"/>
      <c r="BE68" s="51"/>
      <c r="BF68" s="51"/>
    </row>
    <row r="69" spans="1:58" ht="18" customHeight="1" x14ac:dyDescent="0.2">
      <c r="A69" s="51"/>
      <c r="B69" s="51"/>
      <c r="C69" s="51"/>
      <c r="D69" s="51"/>
      <c r="E69" s="51"/>
      <c r="F69" s="51"/>
      <c r="G69" s="51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E69" s="51"/>
      <c r="AF69" s="51"/>
      <c r="AG69" s="51"/>
      <c r="AH69" s="51"/>
      <c r="AI69" s="51"/>
      <c r="AJ69" s="51"/>
      <c r="AK69" s="51"/>
      <c r="AL69" s="51"/>
      <c r="AM69" s="51"/>
      <c r="AN69" s="51"/>
      <c r="AO69" s="51"/>
      <c r="AP69" s="51"/>
      <c r="AQ69" s="51"/>
      <c r="AR69" s="51"/>
      <c r="AS69" s="51"/>
      <c r="AT69" s="51"/>
      <c r="AU69" s="51"/>
      <c r="AV69" s="51"/>
      <c r="AW69" s="51"/>
      <c r="AX69" s="51"/>
      <c r="AY69" s="51"/>
      <c r="AZ69" s="51"/>
      <c r="BA69" s="51"/>
      <c r="BB69" s="51"/>
      <c r="BC69" s="51"/>
      <c r="BD69" s="51"/>
      <c r="BE69" s="51"/>
      <c r="BF69" s="51"/>
    </row>
    <row r="70" spans="1:58" ht="18" customHeight="1" x14ac:dyDescent="0.2">
      <c r="A70" s="51"/>
      <c r="B70" s="51"/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E70" s="51"/>
      <c r="AF70" s="51"/>
      <c r="AG70" s="51"/>
      <c r="AH70" s="51"/>
      <c r="AI70" s="51"/>
      <c r="AJ70" s="51"/>
      <c r="AK70" s="51"/>
      <c r="AL70" s="51"/>
      <c r="AM70" s="51"/>
      <c r="AN70" s="51"/>
      <c r="AO70" s="51"/>
      <c r="AP70" s="51"/>
      <c r="AQ70" s="51"/>
      <c r="AR70" s="51"/>
      <c r="AS70" s="51"/>
      <c r="AT70" s="51"/>
      <c r="AU70" s="51"/>
      <c r="AV70" s="51"/>
      <c r="AW70" s="51"/>
      <c r="AX70" s="51"/>
      <c r="AY70" s="51"/>
      <c r="AZ70" s="51"/>
      <c r="BA70" s="51"/>
      <c r="BB70" s="51"/>
      <c r="BC70" s="51"/>
      <c r="BD70" s="51"/>
      <c r="BE70" s="51"/>
      <c r="BF70" s="51"/>
    </row>
    <row r="71" spans="1:58" ht="18" customHeight="1" x14ac:dyDescent="0.2">
      <c r="A71" s="51"/>
      <c r="B71" s="51"/>
      <c r="C71" s="51"/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E71" s="51"/>
      <c r="AF71" s="51"/>
      <c r="AG71" s="51"/>
      <c r="AH71" s="51"/>
      <c r="AI71" s="51"/>
      <c r="AJ71" s="51"/>
      <c r="AK71" s="51"/>
      <c r="AL71" s="51"/>
      <c r="AM71" s="51"/>
      <c r="AN71" s="51"/>
      <c r="AO71" s="51"/>
      <c r="AP71" s="51"/>
      <c r="AQ71" s="51"/>
      <c r="AR71" s="51"/>
      <c r="AS71" s="51"/>
      <c r="AT71" s="51"/>
      <c r="AU71" s="51"/>
      <c r="AV71" s="51"/>
      <c r="AW71" s="51"/>
      <c r="AX71" s="51"/>
      <c r="AY71" s="51"/>
      <c r="AZ71" s="51"/>
      <c r="BA71" s="51"/>
      <c r="BB71" s="51"/>
      <c r="BC71" s="51"/>
      <c r="BD71" s="51"/>
      <c r="BE71" s="51"/>
      <c r="BF71" s="51"/>
    </row>
    <row r="72" spans="1:58" ht="18" customHeight="1" x14ac:dyDescent="0.2">
      <c r="A72" s="51"/>
      <c r="B72" s="51"/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1"/>
      <c r="AE72" s="51"/>
      <c r="AF72" s="51"/>
      <c r="AG72" s="51"/>
      <c r="AH72" s="51"/>
      <c r="AI72" s="51"/>
      <c r="AJ72" s="51"/>
      <c r="AK72" s="51"/>
      <c r="AL72" s="51"/>
      <c r="AM72" s="51"/>
      <c r="AN72" s="51"/>
      <c r="AO72" s="51"/>
      <c r="AP72" s="51"/>
      <c r="AQ72" s="51"/>
      <c r="AR72" s="51"/>
      <c r="AS72" s="51"/>
      <c r="AT72" s="51"/>
      <c r="AU72" s="51"/>
      <c r="AV72" s="51"/>
      <c r="AW72" s="51"/>
      <c r="AX72" s="51"/>
      <c r="AY72" s="51"/>
      <c r="AZ72" s="51"/>
      <c r="BA72" s="51"/>
      <c r="BB72" s="51"/>
      <c r="BC72" s="51"/>
      <c r="BD72" s="51"/>
      <c r="BE72" s="51"/>
      <c r="BF72" s="51"/>
    </row>
    <row r="73" spans="1:58" ht="18" customHeight="1" x14ac:dyDescent="0.2">
      <c r="A73" s="51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  <c r="BC73" s="51"/>
      <c r="BD73" s="51"/>
      <c r="BE73" s="51"/>
      <c r="BF73" s="51"/>
    </row>
    <row r="74" spans="1:58" ht="18" customHeight="1" x14ac:dyDescent="0.2">
      <c r="A74" s="51"/>
      <c r="B74" s="51"/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1"/>
      <c r="AV74" s="51"/>
      <c r="AW74" s="51"/>
      <c r="AX74" s="51"/>
      <c r="AY74" s="51"/>
      <c r="AZ74" s="51"/>
      <c r="BA74" s="51"/>
      <c r="BB74" s="51"/>
      <c r="BC74" s="51"/>
      <c r="BD74" s="51"/>
      <c r="BE74" s="51"/>
      <c r="BF74" s="51"/>
    </row>
    <row r="75" spans="1:58" ht="18" customHeight="1" x14ac:dyDescent="0.2">
      <c r="A75" s="51"/>
      <c r="B75" s="51"/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1"/>
      <c r="AV75" s="51"/>
      <c r="AW75" s="51"/>
      <c r="AX75" s="51"/>
      <c r="AY75" s="51"/>
      <c r="AZ75" s="51"/>
      <c r="BA75" s="51"/>
      <c r="BB75" s="51"/>
      <c r="BC75" s="51"/>
      <c r="BD75" s="51"/>
      <c r="BE75" s="51"/>
      <c r="BF75" s="51"/>
    </row>
    <row r="76" spans="1:58" ht="18" customHeight="1" x14ac:dyDescent="0.2">
      <c r="A76" s="51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  <c r="BC76" s="51"/>
      <c r="BD76" s="51"/>
      <c r="BE76" s="51"/>
      <c r="BF76" s="51"/>
    </row>
    <row r="77" spans="1:58" ht="18" customHeight="1" x14ac:dyDescent="0.2">
      <c r="A77" s="51"/>
      <c r="B77" s="51"/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1"/>
      <c r="AV77" s="51"/>
      <c r="AW77" s="51"/>
      <c r="AX77" s="51"/>
      <c r="AY77" s="51"/>
      <c r="AZ77" s="51"/>
      <c r="BA77" s="51"/>
      <c r="BB77" s="51"/>
      <c r="BC77" s="51"/>
      <c r="BD77" s="51"/>
      <c r="BE77" s="51"/>
      <c r="BF77" s="51"/>
    </row>
    <row r="78" spans="1:58" ht="18" customHeight="1" x14ac:dyDescent="0.2">
      <c r="A78" s="51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  <c r="BC78" s="51"/>
      <c r="BD78" s="51"/>
      <c r="BE78" s="51"/>
      <c r="BF78" s="51"/>
    </row>
    <row r="79" spans="1:58" ht="18" customHeight="1" x14ac:dyDescent="0.2">
      <c r="A79" s="51"/>
      <c r="B79" s="51"/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1"/>
      <c r="AE79" s="51"/>
      <c r="AF79" s="51"/>
      <c r="AG79" s="51"/>
      <c r="AH79" s="51"/>
      <c r="AI79" s="51"/>
      <c r="AJ79" s="51"/>
      <c r="AK79" s="51"/>
      <c r="AL79" s="51"/>
      <c r="AM79" s="51"/>
      <c r="AN79" s="51"/>
      <c r="AO79" s="51"/>
      <c r="AP79" s="51"/>
      <c r="AQ79" s="51"/>
      <c r="AR79" s="51"/>
      <c r="AS79" s="51"/>
      <c r="AT79" s="51"/>
      <c r="AU79" s="51"/>
      <c r="AV79" s="51"/>
      <c r="AW79" s="51"/>
      <c r="AX79" s="51"/>
      <c r="AY79" s="51"/>
      <c r="AZ79" s="51"/>
      <c r="BA79" s="51"/>
      <c r="BB79" s="51"/>
      <c r="BC79" s="51"/>
      <c r="BD79" s="51"/>
      <c r="BE79" s="51"/>
      <c r="BF79" s="51"/>
    </row>
    <row r="80" spans="1:58" ht="18" customHeight="1" x14ac:dyDescent="0.2">
      <c r="A80" s="51"/>
      <c r="B80" s="51"/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51"/>
      <c r="AH80" s="51"/>
      <c r="AI80" s="51"/>
      <c r="AJ80" s="51"/>
      <c r="AK80" s="51"/>
      <c r="AL80" s="51"/>
      <c r="AM80" s="51"/>
      <c r="AN80" s="51"/>
      <c r="AO80" s="51"/>
      <c r="AP80" s="51"/>
      <c r="AQ80" s="51"/>
      <c r="AR80" s="51"/>
      <c r="AS80" s="51"/>
      <c r="AT80" s="51"/>
      <c r="AU80" s="51"/>
      <c r="AV80" s="51"/>
      <c r="AW80" s="51"/>
      <c r="AX80" s="51"/>
      <c r="AY80" s="51"/>
      <c r="AZ80" s="51"/>
      <c r="BA80" s="51"/>
      <c r="BB80" s="51"/>
      <c r="BC80" s="51"/>
      <c r="BD80" s="51"/>
      <c r="BE80" s="51"/>
      <c r="BF80" s="51"/>
    </row>
    <row r="81" spans="1:58" ht="18" customHeight="1" x14ac:dyDescent="0.2">
      <c r="A81" s="51"/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51"/>
      <c r="Z81" s="51"/>
      <c r="AA81" s="51"/>
      <c r="AB81" s="51"/>
      <c r="AC81" s="51"/>
      <c r="AD81" s="51"/>
      <c r="AE81" s="51"/>
      <c r="AF81" s="51"/>
      <c r="AG81" s="51"/>
      <c r="AH81" s="51"/>
      <c r="AI81" s="51"/>
      <c r="AJ81" s="51"/>
      <c r="AK81" s="51"/>
      <c r="AL81" s="51"/>
      <c r="AM81" s="51"/>
      <c r="AN81" s="51"/>
      <c r="AO81" s="51"/>
      <c r="AP81" s="51"/>
      <c r="AQ81" s="51"/>
      <c r="AR81" s="51"/>
      <c r="AS81" s="51"/>
      <c r="AT81" s="51"/>
      <c r="AU81" s="51"/>
      <c r="AV81" s="51"/>
      <c r="AW81" s="51"/>
      <c r="AX81" s="51"/>
      <c r="AY81" s="51"/>
      <c r="AZ81" s="51"/>
      <c r="BA81" s="51"/>
      <c r="BB81" s="51"/>
      <c r="BC81" s="51"/>
      <c r="BD81" s="51"/>
      <c r="BE81" s="51"/>
      <c r="BF81" s="51"/>
    </row>
    <row r="82" spans="1:58" ht="18" customHeight="1" x14ac:dyDescent="0.2">
      <c r="A82" s="51"/>
      <c r="B82" s="51"/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/>
      <c r="W82" s="51"/>
      <c r="X82" s="51"/>
      <c r="Y82" s="51"/>
      <c r="Z82" s="51"/>
      <c r="AA82" s="51"/>
      <c r="AB82" s="51"/>
      <c r="AC82" s="51"/>
      <c r="AD82" s="51"/>
      <c r="AE82" s="51"/>
      <c r="AF82" s="51"/>
      <c r="AG82" s="51"/>
      <c r="AH82" s="51"/>
      <c r="AI82" s="51"/>
      <c r="AJ82" s="51"/>
      <c r="AK82" s="51"/>
      <c r="AL82" s="51"/>
      <c r="AM82" s="51"/>
      <c r="AN82" s="51"/>
      <c r="AO82" s="51"/>
      <c r="AP82" s="51"/>
      <c r="AQ82" s="51"/>
      <c r="AR82" s="51"/>
      <c r="AS82" s="51"/>
      <c r="AT82" s="51"/>
      <c r="AU82" s="51"/>
      <c r="AV82" s="51"/>
      <c r="AW82" s="51"/>
      <c r="AX82" s="51"/>
      <c r="AY82" s="51"/>
      <c r="AZ82" s="51"/>
      <c r="BA82" s="51"/>
      <c r="BB82" s="51"/>
      <c r="BC82" s="51"/>
      <c r="BD82" s="51"/>
      <c r="BE82" s="51"/>
      <c r="BF82" s="51"/>
    </row>
    <row r="83" spans="1:58" ht="18" customHeight="1" x14ac:dyDescent="0.2">
      <c r="A83" s="51"/>
      <c r="B83" s="51"/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51"/>
      <c r="AE83" s="51"/>
      <c r="AF83" s="51"/>
      <c r="AG83" s="51"/>
      <c r="AH83" s="51"/>
      <c r="AI83" s="51"/>
      <c r="AJ83" s="51"/>
      <c r="AK83" s="51"/>
      <c r="AL83" s="51"/>
      <c r="AM83" s="51"/>
      <c r="AN83" s="51"/>
      <c r="AO83" s="51"/>
      <c r="AP83" s="51"/>
      <c r="AQ83" s="51"/>
      <c r="AR83" s="51"/>
      <c r="AS83" s="51"/>
      <c r="AT83" s="51"/>
      <c r="AU83" s="51"/>
      <c r="AV83" s="51"/>
      <c r="AW83" s="51"/>
      <c r="AX83" s="51"/>
      <c r="AY83" s="51"/>
      <c r="AZ83" s="51"/>
      <c r="BA83" s="51"/>
      <c r="BB83" s="51"/>
      <c r="BC83" s="51"/>
      <c r="BD83" s="51"/>
      <c r="BE83" s="51"/>
      <c r="BF83" s="51"/>
    </row>
    <row r="84" spans="1:58" ht="18" customHeight="1" x14ac:dyDescent="0.2">
      <c r="A84" s="51"/>
      <c r="B84" s="51"/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51"/>
      <c r="Y84" s="51"/>
      <c r="Z84" s="51"/>
      <c r="AA84" s="51"/>
      <c r="AB84" s="51"/>
      <c r="AC84" s="51"/>
      <c r="AD84" s="51"/>
      <c r="AE84" s="51"/>
      <c r="AF84" s="51"/>
      <c r="AG84" s="51"/>
      <c r="AH84" s="51"/>
      <c r="AI84" s="51"/>
      <c r="AJ84" s="51"/>
      <c r="AK84" s="51"/>
      <c r="AL84" s="51"/>
      <c r="AM84" s="51"/>
      <c r="AN84" s="51"/>
      <c r="AO84" s="51"/>
      <c r="AP84" s="51"/>
      <c r="AQ84" s="51"/>
      <c r="AR84" s="51"/>
      <c r="AS84" s="51"/>
      <c r="AT84" s="51"/>
      <c r="AU84" s="51"/>
      <c r="AV84" s="51"/>
      <c r="AW84" s="51"/>
      <c r="AX84" s="51"/>
      <c r="AY84" s="51"/>
      <c r="AZ84" s="51"/>
      <c r="BA84" s="51"/>
      <c r="BB84" s="51"/>
      <c r="BC84" s="51"/>
      <c r="BD84" s="51"/>
      <c r="BE84" s="51"/>
      <c r="BF84" s="51"/>
    </row>
    <row r="85" spans="1:58" ht="18" customHeight="1" x14ac:dyDescent="0.2">
      <c r="A85" s="51"/>
      <c r="B85" s="51"/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51"/>
      <c r="AE85" s="51"/>
      <c r="AF85" s="51"/>
      <c r="AG85" s="51"/>
      <c r="AH85" s="51"/>
      <c r="AI85" s="51"/>
      <c r="AJ85" s="51"/>
      <c r="AK85" s="51"/>
      <c r="AL85" s="51"/>
      <c r="AM85" s="51"/>
      <c r="AN85" s="51"/>
      <c r="AO85" s="51"/>
      <c r="AP85" s="51"/>
      <c r="AQ85" s="51"/>
      <c r="AR85" s="51"/>
      <c r="AS85" s="51"/>
      <c r="AT85" s="51"/>
      <c r="AU85" s="51"/>
      <c r="AV85" s="51"/>
      <c r="AW85" s="51"/>
      <c r="AX85" s="51"/>
      <c r="AY85" s="51"/>
      <c r="AZ85" s="51"/>
      <c r="BA85" s="51"/>
      <c r="BB85" s="51"/>
      <c r="BC85" s="51"/>
      <c r="BD85" s="51"/>
      <c r="BE85" s="51"/>
      <c r="BF85" s="51"/>
    </row>
    <row r="86" spans="1:58" ht="18" customHeight="1" x14ac:dyDescent="0.2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  <c r="BC86" s="51"/>
      <c r="BD86" s="51"/>
      <c r="BE86" s="51"/>
      <c r="BF86" s="51"/>
    </row>
    <row r="87" spans="1:58" ht="18" customHeight="1" x14ac:dyDescent="0.2">
      <c r="A87" s="51"/>
      <c r="B87" s="51"/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  <c r="S87" s="51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51"/>
      <c r="AE87" s="51"/>
      <c r="AF87" s="51"/>
      <c r="AG87" s="51"/>
      <c r="AH87" s="51"/>
      <c r="AI87" s="51"/>
      <c r="AJ87" s="51"/>
      <c r="AK87" s="51"/>
      <c r="AL87" s="51"/>
      <c r="AM87" s="51"/>
      <c r="AN87" s="51"/>
      <c r="AO87" s="51"/>
      <c r="AP87" s="51"/>
      <c r="AQ87" s="51"/>
      <c r="AR87" s="51"/>
      <c r="AS87" s="51"/>
      <c r="AT87" s="51"/>
      <c r="AU87" s="51"/>
      <c r="AV87" s="51"/>
      <c r="AW87" s="51"/>
      <c r="AX87" s="51"/>
      <c r="AY87" s="51"/>
      <c r="AZ87" s="51"/>
      <c r="BA87" s="51"/>
      <c r="BB87" s="51"/>
      <c r="BC87" s="51"/>
      <c r="BD87" s="51"/>
      <c r="BE87" s="51"/>
      <c r="BF87" s="51"/>
    </row>
    <row r="88" spans="1:58" ht="18" customHeight="1" x14ac:dyDescent="0.2">
      <c r="A88" s="51"/>
      <c r="B88" s="51"/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1"/>
      <c r="AE88" s="51"/>
      <c r="AF88" s="51"/>
      <c r="AG88" s="51"/>
      <c r="AH88" s="51"/>
      <c r="AI88" s="51"/>
      <c r="AJ88" s="51"/>
      <c r="AK88" s="51"/>
      <c r="AL88" s="51"/>
      <c r="AM88" s="51"/>
      <c r="AN88" s="51"/>
      <c r="AO88" s="51"/>
      <c r="AP88" s="51"/>
      <c r="AQ88" s="51"/>
      <c r="AR88" s="51"/>
      <c r="AS88" s="51"/>
      <c r="AT88" s="51"/>
      <c r="AU88" s="51"/>
      <c r="AV88" s="51"/>
      <c r="AW88" s="51"/>
      <c r="AX88" s="51"/>
      <c r="AY88" s="51"/>
      <c r="AZ88" s="51"/>
      <c r="BA88" s="51"/>
      <c r="BB88" s="51"/>
      <c r="BC88" s="51"/>
      <c r="BD88" s="51"/>
      <c r="BE88" s="51"/>
      <c r="BF88" s="51"/>
    </row>
    <row r="89" spans="1:58" ht="18" customHeight="1" x14ac:dyDescent="0.2">
      <c r="A89" s="51"/>
      <c r="B89" s="51"/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  <c r="AE89" s="51"/>
      <c r="AF89" s="51"/>
      <c r="AG89" s="51"/>
      <c r="AH89" s="51"/>
      <c r="AI89" s="51"/>
      <c r="AJ89" s="51"/>
      <c r="AK89" s="51"/>
      <c r="AL89" s="51"/>
      <c r="AM89" s="51"/>
      <c r="AN89" s="51"/>
      <c r="AO89" s="51"/>
      <c r="AP89" s="51"/>
      <c r="AQ89" s="51"/>
      <c r="AR89" s="51"/>
      <c r="AS89" s="51"/>
      <c r="AT89" s="51"/>
      <c r="AU89" s="51"/>
      <c r="AV89" s="51"/>
      <c r="AW89" s="51"/>
      <c r="AX89" s="51"/>
      <c r="AY89" s="51"/>
      <c r="AZ89" s="51"/>
      <c r="BA89" s="51"/>
      <c r="BB89" s="51"/>
      <c r="BC89" s="51"/>
      <c r="BD89" s="51"/>
      <c r="BE89" s="51"/>
      <c r="BF89" s="51"/>
    </row>
    <row r="90" spans="1:58" ht="18" customHeight="1" x14ac:dyDescent="0.2">
      <c r="A90" s="51"/>
      <c r="B90" s="51"/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  <c r="AE90" s="51"/>
      <c r="AF90" s="51"/>
      <c r="AG90" s="51"/>
      <c r="AH90" s="51"/>
      <c r="AI90" s="51"/>
      <c r="AJ90" s="51"/>
      <c r="AK90" s="51"/>
      <c r="AL90" s="51"/>
      <c r="AM90" s="51"/>
      <c r="AN90" s="51"/>
      <c r="AO90" s="51"/>
      <c r="AP90" s="51"/>
      <c r="AQ90" s="51"/>
      <c r="AR90" s="51"/>
      <c r="AS90" s="51"/>
      <c r="AT90" s="51"/>
      <c r="AU90" s="51"/>
      <c r="AV90" s="51"/>
      <c r="AW90" s="51"/>
      <c r="AX90" s="51"/>
      <c r="AY90" s="51"/>
      <c r="AZ90" s="51"/>
      <c r="BA90" s="51"/>
      <c r="BB90" s="51"/>
      <c r="BC90" s="51"/>
      <c r="BD90" s="51"/>
      <c r="BE90" s="51"/>
      <c r="BF90" s="51"/>
    </row>
    <row r="91" spans="1:58" ht="18" customHeight="1" x14ac:dyDescent="0.2">
      <c r="A91" s="51"/>
      <c r="B91" s="51"/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1"/>
      <c r="AE91" s="51"/>
      <c r="AF91" s="51"/>
      <c r="AG91" s="51"/>
      <c r="AH91" s="51"/>
      <c r="AI91" s="51"/>
      <c r="AJ91" s="51"/>
      <c r="AK91" s="51"/>
      <c r="AL91" s="51"/>
      <c r="AM91" s="51"/>
      <c r="AN91" s="51"/>
      <c r="AO91" s="51"/>
      <c r="AP91" s="51"/>
      <c r="AQ91" s="51"/>
      <c r="AR91" s="51"/>
      <c r="AS91" s="51"/>
      <c r="AT91" s="51"/>
      <c r="AU91" s="51"/>
      <c r="AV91" s="51"/>
      <c r="AW91" s="51"/>
      <c r="AX91" s="51"/>
      <c r="AY91" s="51"/>
      <c r="AZ91" s="51"/>
      <c r="BA91" s="51"/>
      <c r="BB91" s="51"/>
      <c r="BC91" s="51"/>
      <c r="BD91" s="51"/>
      <c r="BE91" s="51"/>
      <c r="BF91" s="51"/>
    </row>
    <row r="92" spans="1:58" ht="18" customHeight="1" x14ac:dyDescent="0.2">
      <c r="A92" s="51"/>
      <c r="B92" s="51"/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  <c r="AE92" s="51"/>
      <c r="AF92" s="51"/>
      <c r="AG92" s="51"/>
      <c r="AH92" s="51"/>
      <c r="AI92" s="51"/>
      <c r="AJ92" s="51"/>
      <c r="AK92" s="51"/>
      <c r="AL92" s="51"/>
      <c r="AM92" s="51"/>
      <c r="AN92" s="51"/>
      <c r="AO92" s="51"/>
      <c r="AP92" s="51"/>
      <c r="AQ92" s="51"/>
      <c r="AR92" s="51"/>
      <c r="AS92" s="51"/>
      <c r="AT92" s="51"/>
      <c r="AU92" s="51"/>
      <c r="AV92" s="51"/>
      <c r="AW92" s="51"/>
      <c r="AX92" s="51"/>
      <c r="AY92" s="51"/>
      <c r="AZ92" s="51"/>
      <c r="BA92" s="51"/>
      <c r="BB92" s="51"/>
      <c r="BC92" s="51"/>
      <c r="BD92" s="51"/>
      <c r="BE92" s="51"/>
      <c r="BF92" s="51"/>
    </row>
    <row r="93" spans="1:58" ht="18" customHeight="1" x14ac:dyDescent="0.2">
      <c r="A93" s="51"/>
      <c r="B93" s="51"/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1"/>
      <c r="AE93" s="51"/>
      <c r="AF93" s="51"/>
      <c r="AG93" s="51"/>
      <c r="AH93" s="51"/>
      <c r="AI93" s="51"/>
      <c r="AJ93" s="51"/>
      <c r="AK93" s="51"/>
      <c r="AL93" s="51"/>
      <c r="AM93" s="51"/>
      <c r="AN93" s="51"/>
      <c r="AO93" s="51"/>
      <c r="AP93" s="51"/>
      <c r="AQ93" s="51"/>
      <c r="AR93" s="51"/>
      <c r="AS93" s="51"/>
      <c r="AT93" s="51"/>
      <c r="AU93" s="51"/>
      <c r="AV93" s="51"/>
      <c r="AW93" s="51"/>
      <c r="AX93" s="51"/>
      <c r="AY93" s="51"/>
      <c r="AZ93" s="51"/>
      <c r="BA93" s="51"/>
      <c r="BB93" s="51"/>
      <c r="BC93" s="51"/>
      <c r="BD93" s="51"/>
      <c r="BE93" s="51"/>
      <c r="BF93" s="51"/>
    </row>
    <row r="94" spans="1:58" ht="18" customHeight="1" x14ac:dyDescent="0.2">
      <c r="A94" s="51"/>
      <c r="B94" s="51"/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1"/>
      <c r="Y94" s="51"/>
      <c r="Z94" s="51"/>
      <c r="AA94" s="51"/>
      <c r="AB94" s="51"/>
      <c r="AC94" s="51"/>
      <c r="AD94" s="51"/>
      <c r="AE94" s="51"/>
      <c r="AF94" s="51"/>
      <c r="AG94" s="51"/>
      <c r="AH94" s="51"/>
      <c r="AI94" s="51"/>
      <c r="AJ94" s="51"/>
      <c r="AK94" s="51"/>
      <c r="AL94" s="51"/>
      <c r="AM94" s="51"/>
      <c r="AN94" s="51"/>
      <c r="AO94" s="51"/>
      <c r="AP94" s="51"/>
      <c r="AQ94" s="51"/>
      <c r="AR94" s="51"/>
      <c r="AS94" s="51"/>
      <c r="AT94" s="51"/>
      <c r="AU94" s="51"/>
      <c r="AV94" s="51"/>
      <c r="AW94" s="51"/>
      <c r="AX94" s="51"/>
      <c r="AY94" s="51"/>
      <c r="AZ94" s="51"/>
      <c r="BA94" s="51"/>
      <c r="BB94" s="51"/>
      <c r="BC94" s="51"/>
      <c r="BD94" s="51"/>
      <c r="BE94" s="51"/>
      <c r="BF94" s="51"/>
    </row>
    <row r="95" spans="1:58" ht="18" customHeight="1" x14ac:dyDescent="0.2">
      <c r="A95" s="51"/>
      <c r="B95" s="51"/>
      <c r="C95" s="51"/>
      <c r="D95" s="51"/>
      <c r="E95" s="51"/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E95" s="51"/>
      <c r="AF95" s="51"/>
      <c r="AG95" s="51"/>
      <c r="AH95" s="51"/>
      <c r="AI95" s="51"/>
      <c r="AJ95" s="51"/>
      <c r="AK95" s="51"/>
      <c r="AL95" s="51"/>
      <c r="AM95" s="51"/>
      <c r="AN95" s="51"/>
      <c r="AO95" s="51"/>
      <c r="AP95" s="51"/>
      <c r="AQ95" s="51"/>
      <c r="AR95" s="51"/>
      <c r="AS95" s="51"/>
      <c r="AT95" s="51"/>
      <c r="AU95" s="51"/>
      <c r="AV95" s="51"/>
      <c r="AW95" s="51"/>
      <c r="AX95" s="51"/>
      <c r="AY95" s="51"/>
      <c r="AZ95" s="51"/>
      <c r="BA95" s="51"/>
      <c r="BB95" s="51"/>
      <c r="BC95" s="51"/>
      <c r="BD95" s="51"/>
      <c r="BE95" s="51"/>
      <c r="BF95" s="51"/>
    </row>
    <row r="96" spans="1:58" ht="18" customHeight="1" x14ac:dyDescent="0.2">
      <c r="A96" s="51"/>
      <c r="B96" s="51"/>
      <c r="C96" s="51"/>
      <c r="D96" s="51"/>
      <c r="E96" s="51"/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  <c r="AB96" s="51"/>
      <c r="AC96" s="51"/>
      <c r="AD96" s="51"/>
      <c r="AE96" s="51"/>
      <c r="AF96" s="51"/>
      <c r="AG96" s="51"/>
      <c r="AH96" s="51"/>
      <c r="AI96" s="51"/>
      <c r="AJ96" s="51"/>
      <c r="AK96" s="51"/>
      <c r="AL96" s="51"/>
      <c r="AM96" s="51"/>
      <c r="AN96" s="51"/>
      <c r="AO96" s="51"/>
      <c r="AP96" s="51"/>
      <c r="AQ96" s="51"/>
      <c r="AR96" s="51"/>
      <c r="AS96" s="51"/>
      <c r="AT96" s="51"/>
      <c r="AU96" s="51"/>
      <c r="AV96" s="51"/>
      <c r="AW96" s="51"/>
      <c r="AX96" s="51"/>
      <c r="AY96" s="51"/>
      <c r="AZ96" s="51"/>
      <c r="BA96" s="51"/>
      <c r="BB96" s="51"/>
      <c r="BC96" s="51"/>
      <c r="BD96" s="51"/>
      <c r="BE96" s="51"/>
      <c r="BF96" s="51"/>
    </row>
    <row r="97" spans="1:58" ht="18" customHeight="1" x14ac:dyDescent="0.2">
      <c r="A97" s="51"/>
      <c r="B97" s="51"/>
      <c r="C97" s="51"/>
      <c r="D97" s="51"/>
      <c r="E97" s="51"/>
      <c r="F97" s="51"/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  <c r="AX97" s="51"/>
      <c r="AY97" s="51"/>
      <c r="AZ97" s="51"/>
      <c r="BA97" s="51"/>
      <c r="BB97" s="51"/>
      <c r="BC97" s="51"/>
      <c r="BD97" s="51"/>
      <c r="BE97" s="51"/>
      <c r="BF97" s="51"/>
    </row>
    <row r="98" spans="1:58" ht="18" customHeight="1" x14ac:dyDescent="0.2">
      <c r="A98" s="51"/>
      <c r="B98" s="51"/>
      <c r="C98" s="51"/>
      <c r="D98" s="51"/>
      <c r="E98" s="51"/>
      <c r="F98" s="51"/>
      <c r="G98" s="51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  <c r="AB98" s="51"/>
      <c r="AC98" s="51"/>
      <c r="AD98" s="5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1"/>
      <c r="AV98" s="51"/>
      <c r="AW98" s="51"/>
      <c r="AX98" s="51"/>
      <c r="AY98" s="51"/>
      <c r="AZ98" s="51"/>
      <c r="BA98" s="51"/>
      <c r="BB98" s="51"/>
      <c r="BC98" s="51"/>
      <c r="BD98" s="51"/>
      <c r="BE98" s="51"/>
      <c r="BF98" s="51"/>
    </row>
    <row r="99" spans="1:58" ht="18" customHeight="1" x14ac:dyDescent="0.2">
      <c r="A99" s="51"/>
      <c r="B99" s="51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1"/>
      <c r="AV99" s="51"/>
      <c r="AW99" s="51"/>
      <c r="AX99" s="51"/>
      <c r="AY99" s="51"/>
      <c r="AZ99" s="51"/>
      <c r="BA99" s="51"/>
      <c r="BB99" s="51"/>
      <c r="BC99" s="51"/>
      <c r="BD99" s="51"/>
      <c r="BE99" s="51"/>
      <c r="BF99" s="51"/>
    </row>
    <row r="100" spans="1:58" ht="18" customHeight="1" x14ac:dyDescent="0.2">
      <c r="A100" s="51"/>
      <c r="B100" s="51"/>
      <c r="C100" s="51"/>
      <c r="D100" s="51"/>
      <c r="E100" s="51"/>
      <c r="F100" s="51"/>
      <c r="G100" s="51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  <c r="AO100" s="51"/>
      <c r="AP100" s="51"/>
      <c r="AQ100" s="51"/>
      <c r="AR100" s="51"/>
      <c r="AS100" s="51"/>
      <c r="AT100" s="51"/>
      <c r="AU100" s="51"/>
      <c r="AV100" s="51"/>
      <c r="AW100" s="51"/>
      <c r="AX100" s="51"/>
      <c r="AY100" s="51"/>
      <c r="AZ100" s="51"/>
      <c r="BA100" s="51"/>
      <c r="BB100" s="51"/>
      <c r="BC100" s="51"/>
      <c r="BD100" s="51"/>
      <c r="BE100" s="51"/>
      <c r="BF100" s="51"/>
    </row>
    <row r="101" spans="1:58" ht="18" customHeight="1" x14ac:dyDescent="0.2">
      <c r="A101" s="51"/>
      <c r="B101" s="51"/>
      <c r="C101" s="51"/>
      <c r="D101" s="51"/>
      <c r="E101" s="51"/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1"/>
      <c r="AV101" s="51"/>
      <c r="AW101" s="51"/>
      <c r="AX101" s="51"/>
      <c r="AY101" s="51"/>
      <c r="AZ101" s="51"/>
      <c r="BA101" s="51"/>
      <c r="BB101" s="51"/>
      <c r="BC101" s="51"/>
      <c r="BD101" s="51"/>
      <c r="BE101" s="51"/>
      <c r="BF101" s="51"/>
    </row>
    <row r="102" spans="1:58" ht="18" customHeight="1" x14ac:dyDescent="0.2">
      <c r="A102" s="51"/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  <c r="AO102" s="51"/>
      <c r="AP102" s="51"/>
      <c r="AQ102" s="51"/>
      <c r="AR102" s="51"/>
      <c r="AS102" s="51"/>
      <c r="AT102" s="51"/>
      <c r="AU102" s="51"/>
      <c r="AV102" s="51"/>
      <c r="AW102" s="51"/>
      <c r="AX102" s="51"/>
      <c r="AY102" s="51"/>
      <c r="AZ102" s="51"/>
      <c r="BA102" s="51"/>
      <c r="BB102" s="51"/>
      <c r="BC102" s="51"/>
      <c r="BD102" s="51"/>
      <c r="BE102" s="51"/>
      <c r="BF102" s="51"/>
    </row>
    <row r="103" spans="1:58" ht="18" customHeight="1" x14ac:dyDescent="0.2">
      <c r="A103" s="51"/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1"/>
      <c r="AS103" s="51"/>
      <c r="AT103" s="51"/>
      <c r="AU103" s="51"/>
      <c r="AV103" s="51"/>
      <c r="AW103" s="51"/>
      <c r="AX103" s="51"/>
      <c r="AY103" s="51"/>
      <c r="AZ103" s="51"/>
      <c r="BA103" s="51"/>
      <c r="BB103" s="51"/>
      <c r="BC103" s="51"/>
      <c r="BD103" s="51"/>
      <c r="BE103" s="51"/>
      <c r="BF103" s="51"/>
    </row>
    <row r="104" spans="1:58" ht="18" customHeight="1" x14ac:dyDescent="0.2">
      <c r="A104" s="51"/>
      <c r="B104" s="51"/>
      <c r="C104" s="51"/>
      <c r="D104" s="51"/>
      <c r="E104" s="51"/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  <c r="AR104" s="51"/>
      <c r="AS104" s="51"/>
      <c r="AT104" s="51"/>
      <c r="AU104" s="51"/>
      <c r="AV104" s="51"/>
      <c r="AW104" s="51"/>
      <c r="AX104" s="51"/>
      <c r="AY104" s="51"/>
      <c r="AZ104" s="51"/>
      <c r="BA104" s="51"/>
      <c r="BB104" s="51"/>
      <c r="BC104" s="51"/>
      <c r="BD104" s="51"/>
      <c r="BE104" s="51"/>
      <c r="BF104" s="51"/>
    </row>
    <row r="105" spans="1:58" ht="18" customHeight="1" x14ac:dyDescent="0.2">
      <c r="A105" s="51"/>
      <c r="B105" s="51"/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  <c r="AO105" s="51"/>
      <c r="AP105" s="51"/>
      <c r="AQ105" s="51"/>
      <c r="AR105" s="51"/>
      <c r="AS105" s="51"/>
      <c r="AT105" s="51"/>
      <c r="AU105" s="51"/>
      <c r="AV105" s="51"/>
      <c r="AW105" s="51"/>
      <c r="AX105" s="51"/>
      <c r="AY105" s="51"/>
      <c r="AZ105" s="51"/>
      <c r="BA105" s="51"/>
      <c r="BB105" s="51"/>
      <c r="BC105" s="51"/>
      <c r="BD105" s="51"/>
      <c r="BE105" s="51"/>
      <c r="BF105" s="51"/>
    </row>
    <row r="106" spans="1:58" ht="18" customHeight="1" x14ac:dyDescent="0.2">
      <c r="A106" s="51"/>
      <c r="B106" s="51"/>
      <c r="C106" s="51"/>
      <c r="D106" s="51"/>
      <c r="E106" s="51"/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  <c r="AO106" s="51"/>
      <c r="AP106" s="51"/>
      <c r="AQ106" s="51"/>
      <c r="AR106" s="51"/>
      <c r="AS106" s="51"/>
      <c r="AT106" s="51"/>
      <c r="AU106" s="51"/>
      <c r="AV106" s="51"/>
      <c r="AW106" s="51"/>
      <c r="AX106" s="51"/>
      <c r="AY106" s="51"/>
      <c r="AZ106" s="51"/>
      <c r="BA106" s="51"/>
      <c r="BB106" s="51"/>
      <c r="BC106" s="51"/>
      <c r="BD106" s="51"/>
      <c r="BE106" s="51"/>
      <c r="BF106" s="51"/>
    </row>
    <row r="107" spans="1:58" ht="18" customHeight="1" x14ac:dyDescent="0.2">
      <c r="A107" s="51"/>
      <c r="B107" s="51"/>
      <c r="C107" s="51"/>
      <c r="D107" s="51"/>
      <c r="E107" s="51"/>
      <c r="F107" s="51"/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E107" s="51"/>
      <c r="AF107" s="51"/>
      <c r="AG107" s="51"/>
      <c r="AH107" s="51"/>
      <c r="AI107" s="51"/>
      <c r="AJ107" s="51"/>
      <c r="AK107" s="51"/>
      <c r="AL107" s="51"/>
      <c r="AM107" s="51"/>
      <c r="AN107" s="51"/>
      <c r="AO107" s="51"/>
      <c r="AP107" s="51"/>
      <c r="AQ107" s="51"/>
      <c r="AR107" s="51"/>
      <c r="AS107" s="51"/>
      <c r="AT107" s="51"/>
      <c r="AU107" s="51"/>
      <c r="AV107" s="51"/>
      <c r="AW107" s="51"/>
      <c r="AX107" s="51"/>
      <c r="AY107" s="51"/>
      <c r="AZ107" s="51"/>
      <c r="BA107" s="51"/>
      <c r="BB107" s="51"/>
      <c r="BC107" s="51"/>
      <c r="BD107" s="51"/>
      <c r="BE107" s="51"/>
      <c r="BF107" s="51"/>
    </row>
    <row r="108" spans="1:58" ht="18" customHeight="1" x14ac:dyDescent="0.2">
      <c r="A108" s="51"/>
      <c r="B108" s="51"/>
      <c r="C108" s="51"/>
      <c r="D108" s="51"/>
      <c r="E108" s="51"/>
      <c r="F108" s="51"/>
      <c r="G108" s="51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51"/>
      <c r="AE108" s="51"/>
      <c r="AF108" s="51"/>
      <c r="AG108" s="51"/>
      <c r="AH108" s="51"/>
      <c r="AI108" s="51"/>
      <c r="AJ108" s="51"/>
      <c r="AK108" s="51"/>
      <c r="AL108" s="51"/>
      <c r="AM108" s="51"/>
      <c r="AN108" s="51"/>
      <c r="AO108" s="51"/>
      <c r="AP108" s="51"/>
      <c r="AQ108" s="51"/>
      <c r="AR108" s="51"/>
      <c r="AS108" s="51"/>
      <c r="AT108" s="51"/>
      <c r="AU108" s="51"/>
      <c r="AV108" s="51"/>
      <c r="AW108" s="51"/>
      <c r="AX108" s="51"/>
      <c r="AY108" s="51"/>
      <c r="AZ108" s="51"/>
      <c r="BA108" s="51"/>
      <c r="BB108" s="51"/>
      <c r="BC108" s="51"/>
      <c r="BD108" s="51"/>
      <c r="BE108" s="51"/>
      <c r="BF108" s="51"/>
    </row>
    <row r="109" spans="1:58" ht="18" customHeight="1" x14ac:dyDescent="0.2">
      <c r="A109" s="51"/>
      <c r="B109" s="51"/>
      <c r="C109" s="51"/>
      <c r="D109" s="51"/>
      <c r="E109" s="51"/>
      <c r="F109" s="51"/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E109" s="51"/>
      <c r="AF109" s="51"/>
      <c r="AG109" s="51"/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1"/>
      <c r="AS109" s="51"/>
      <c r="AT109" s="51"/>
      <c r="AU109" s="51"/>
      <c r="AV109" s="51"/>
      <c r="AW109" s="51"/>
      <c r="AX109" s="51"/>
      <c r="AY109" s="51"/>
      <c r="AZ109" s="51"/>
      <c r="BA109" s="51"/>
      <c r="BB109" s="51"/>
      <c r="BC109" s="51"/>
      <c r="BD109" s="51"/>
      <c r="BE109" s="51"/>
      <c r="BF109" s="51"/>
    </row>
    <row r="110" spans="1:58" ht="18" customHeight="1" x14ac:dyDescent="0.2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  <c r="BC110" s="51"/>
      <c r="BD110" s="51"/>
      <c r="BE110" s="51"/>
      <c r="BF110" s="51"/>
    </row>
    <row r="111" spans="1:58" ht="18" customHeight="1" x14ac:dyDescent="0.2">
      <c r="A111" s="51"/>
      <c r="B111" s="51"/>
      <c r="C111" s="51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E111" s="51"/>
      <c r="AF111" s="51"/>
      <c r="AG111" s="51"/>
      <c r="AH111" s="51"/>
      <c r="AI111" s="51"/>
      <c r="AJ111" s="51"/>
      <c r="AK111" s="51"/>
      <c r="AL111" s="51"/>
      <c r="AM111" s="51"/>
      <c r="AN111" s="51"/>
      <c r="AO111" s="51"/>
      <c r="AP111" s="51"/>
      <c r="AQ111" s="51"/>
      <c r="AR111" s="51"/>
      <c r="AS111" s="51"/>
      <c r="AT111" s="51"/>
      <c r="AU111" s="51"/>
      <c r="AV111" s="51"/>
      <c r="AW111" s="51"/>
      <c r="AX111" s="51"/>
      <c r="AY111" s="51"/>
      <c r="AZ111" s="51"/>
      <c r="BA111" s="51"/>
      <c r="BB111" s="51"/>
      <c r="BC111" s="51"/>
      <c r="BD111" s="51"/>
      <c r="BE111" s="51"/>
      <c r="BF111" s="51"/>
    </row>
    <row r="112" spans="1:58" ht="18" customHeight="1" x14ac:dyDescent="0.2">
      <c r="A112" s="51"/>
      <c r="B112" s="51"/>
      <c r="C112" s="51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  <c r="AE112" s="51"/>
      <c r="AF112" s="51"/>
      <c r="AG112" s="51"/>
      <c r="AH112" s="51"/>
      <c r="AI112" s="51"/>
      <c r="AJ112" s="51"/>
      <c r="AK112" s="51"/>
      <c r="AL112" s="51"/>
      <c r="AM112" s="51"/>
      <c r="AN112" s="51"/>
      <c r="AO112" s="51"/>
      <c r="AP112" s="51"/>
      <c r="AQ112" s="51"/>
      <c r="AR112" s="51"/>
      <c r="AS112" s="51"/>
      <c r="AT112" s="51"/>
      <c r="AU112" s="51"/>
      <c r="AV112" s="51"/>
      <c r="AW112" s="51"/>
      <c r="AX112" s="51"/>
      <c r="AY112" s="51"/>
      <c r="AZ112" s="51"/>
      <c r="BA112" s="51"/>
      <c r="BB112" s="51"/>
      <c r="BC112" s="51"/>
      <c r="BD112" s="51"/>
      <c r="BE112" s="51"/>
      <c r="BF112" s="51"/>
    </row>
    <row r="113" spans="1:58" ht="18" customHeight="1" x14ac:dyDescent="0.2">
      <c r="A113" s="51"/>
      <c r="B113" s="51"/>
      <c r="C113" s="51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E113" s="51"/>
      <c r="AF113" s="51"/>
      <c r="AG113" s="51"/>
      <c r="AH113" s="51"/>
      <c r="AI113" s="51"/>
      <c r="AJ113" s="51"/>
      <c r="AK113" s="51"/>
      <c r="AL113" s="51"/>
      <c r="AM113" s="51"/>
      <c r="AN113" s="51"/>
      <c r="AO113" s="51"/>
      <c r="AP113" s="51"/>
      <c r="AQ113" s="51"/>
      <c r="AR113" s="51"/>
      <c r="AS113" s="51"/>
      <c r="AT113" s="51"/>
      <c r="AU113" s="51"/>
      <c r="AV113" s="51"/>
      <c r="AW113" s="51"/>
      <c r="AX113" s="51"/>
      <c r="AY113" s="51"/>
      <c r="AZ113" s="51"/>
      <c r="BA113" s="51"/>
      <c r="BB113" s="51"/>
      <c r="BC113" s="51"/>
      <c r="BD113" s="51"/>
      <c r="BE113" s="51"/>
      <c r="BF113" s="51"/>
    </row>
    <row r="114" spans="1:58" ht="18" customHeight="1" x14ac:dyDescent="0.2">
      <c r="A114" s="51"/>
      <c r="B114" s="51"/>
      <c r="C114" s="51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  <c r="BE114" s="51"/>
      <c r="BF114" s="51"/>
    </row>
    <row r="115" spans="1:58" ht="18" customHeight="1" x14ac:dyDescent="0.2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  <c r="BC115" s="51"/>
      <c r="BD115" s="51"/>
      <c r="BE115" s="51"/>
      <c r="BF115" s="51"/>
    </row>
    <row r="116" spans="1:58" ht="18" customHeight="1" x14ac:dyDescent="0.2">
      <c r="A116" s="51"/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  <c r="AE116" s="51"/>
      <c r="AF116" s="51"/>
      <c r="AG116" s="51"/>
      <c r="AH116" s="51"/>
      <c r="AI116" s="51"/>
      <c r="AJ116" s="51"/>
      <c r="AK116" s="51"/>
      <c r="AL116" s="51"/>
      <c r="AM116" s="51"/>
      <c r="AN116" s="51"/>
      <c r="AO116" s="51"/>
      <c r="AP116" s="51"/>
      <c r="AQ116" s="51"/>
      <c r="AR116" s="51"/>
      <c r="AS116" s="51"/>
      <c r="AT116" s="51"/>
      <c r="AU116" s="51"/>
      <c r="AV116" s="51"/>
      <c r="AW116" s="51"/>
      <c r="AX116" s="51"/>
      <c r="AY116" s="51"/>
      <c r="AZ116" s="51"/>
      <c r="BA116" s="51"/>
      <c r="BB116" s="51"/>
      <c r="BC116" s="51"/>
      <c r="BD116" s="51"/>
      <c r="BE116" s="51"/>
      <c r="BF116" s="51"/>
    </row>
    <row r="117" spans="1:58" ht="18" customHeight="1" x14ac:dyDescent="0.2">
      <c r="A117" s="51"/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  <c r="BC117" s="51"/>
      <c r="BD117" s="51"/>
      <c r="BE117" s="51"/>
      <c r="BF117" s="51"/>
    </row>
    <row r="118" spans="1:58" ht="18" customHeight="1" x14ac:dyDescent="0.2">
      <c r="A118" s="51"/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E118" s="51"/>
      <c r="AF118" s="51"/>
      <c r="AG118" s="51"/>
      <c r="AH118" s="51"/>
      <c r="AI118" s="51"/>
      <c r="AJ118" s="51"/>
      <c r="AK118" s="51"/>
      <c r="AL118" s="51"/>
      <c r="AM118" s="51"/>
      <c r="AN118" s="51"/>
      <c r="AO118" s="51"/>
      <c r="AP118" s="51"/>
      <c r="AQ118" s="51"/>
      <c r="AR118" s="51"/>
      <c r="AS118" s="51"/>
      <c r="AT118" s="51"/>
      <c r="AU118" s="51"/>
      <c r="AV118" s="51"/>
      <c r="AW118" s="51"/>
      <c r="AX118" s="51"/>
      <c r="AY118" s="51"/>
      <c r="AZ118" s="51"/>
      <c r="BA118" s="51"/>
      <c r="BB118" s="51"/>
      <c r="BC118" s="51"/>
      <c r="BD118" s="51"/>
      <c r="BE118" s="51"/>
      <c r="BF118" s="51"/>
    </row>
    <row r="119" spans="1:58" ht="18" customHeight="1" x14ac:dyDescent="0.2">
      <c r="A119" s="51"/>
      <c r="B119" s="51"/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E119" s="51"/>
      <c r="AF119" s="51"/>
      <c r="AG119" s="51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1"/>
      <c r="AX119" s="51"/>
      <c r="AY119" s="51"/>
      <c r="AZ119" s="51"/>
      <c r="BA119" s="51"/>
      <c r="BB119" s="51"/>
      <c r="BC119" s="51"/>
      <c r="BD119" s="51"/>
      <c r="BE119" s="51"/>
      <c r="BF119" s="51"/>
    </row>
    <row r="120" spans="1:58" ht="18" customHeight="1" x14ac:dyDescent="0.2">
      <c r="A120" s="51"/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  <c r="BC120" s="51"/>
      <c r="BD120" s="51"/>
      <c r="BE120" s="51"/>
      <c r="BF120" s="51"/>
    </row>
    <row r="121" spans="1:58" ht="18" customHeight="1" x14ac:dyDescent="0.2">
      <c r="A121" s="51"/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1"/>
      <c r="AE121" s="51"/>
      <c r="AF121" s="51"/>
      <c r="AG121" s="51"/>
      <c r="AH121" s="51"/>
      <c r="AI121" s="51"/>
      <c r="AJ121" s="51"/>
      <c r="AK121" s="51"/>
      <c r="AL121" s="51"/>
      <c r="AM121" s="51"/>
      <c r="AN121" s="51"/>
      <c r="AO121" s="51"/>
      <c r="AP121" s="51"/>
      <c r="AQ121" s="51"/>
      <c r="AR121" s="51"/>
      <c r="AS121" s="51"/>
      <c r="AT121" s="51"/>
      <c r="AU121" s="51"/>
      <c r="AV121" s="51"/>
      <c r="AW121" s="51"/>
      <c r="AX121" s="51"/>
      <c r="AY121" s="51"/>
      <c r="AZ121" s="51"/>
      <c r="BA121" s="51"/>
      <c r="BB121" s="51"/>
      <c r="BC121" s="51"/>
      <c r="BD121" s="51"/>
      <c r="BE121" s="51"/>
      <c r="BF121" s="51"/>
    </row>
    <row r="122" spans="1:58" ht="18" customHeight="1" x14ac:dyDescent="0.2">
      <c r="A122" s="51"/>
      <c r="B122" s="51"/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1"/>
      <c r="AV122" s="51"/>
      <c r="AW122" s="51"/>
      <c r="AX122" s="51"/>
      <c r="AY122" s="51"/>
      <c r="AZ122" s="51"/>
      <c r="BA122" s="51"/>
      <c r="BB122" s="51"/>
      <c r="BC122" s="51"/>
      <c r="BD122" s="51"/>
      <c r="BE122" s="51"/>
      <c r="BF122" s="51"/>
    </row>
    <row r="123" spans="1:58" ht="18" customHeight="1" x14ac:dyDescent="0.2">
      <c r="A123" s="51"/>
      <c r="B123" s="51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  <c r="BC123" s="51"/>
      <c r="BD123" s="51"/>
      <c r="BE123" s="51"/>
      <c r="BF123" s="51"/>
    </row>
    <row r="124" spans="1:58" ht="18" customHeight="1" x14ac:dyDescent="0.2">
      <c r="A124" s="51"/>
      <c r="B124" s="51"/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1"/>
      <c r="AE124" s="51"/>
      <c r="AF124" s="51"/>
      <c r="AG124" s="51"/>
      <c r="AH124" s="51"/>
      <c r="AI124" s="51"/>
      <c r="AJ124" s="51"/>
      <c r="AK124" s="51"/>
      <c r="AL124" s="51"/>
      <c r="AM124" s="51"/>
      <c r="AN124" s="51"/>
      <c r="AO124" s="51"/>
      <c r="AP124" s="51"/>
      <c r="AQ124" s="51"/>
      <c r="AR124" s="51"/>
      <c r="AS124" s="51"/>
      <c r="AT124" s="51"/>
      <c r="AU124" s="51"/>
      <c r="AV124" s="51"/>
      <c r="AW124" s="51"/>
      <c r="AX124" s="51"/>
      <c r="AY124" s="51"/>
      <c r="AZ124" s="51"/>
      <c r="BA124" s="51"/>
      <c r="BB124" s="51"/>
      <c r="BC124" s="51"/>
      <c r="BD124" s="51"/>
      <c r="BE124" s="51"/>
      <c r="BF124" s="51"/>
    </row>
    <row r="125" spans="1:58" ht="18" customHeight="1" x14ac:dyDescent="0.2">
      <c r="A125" s="51"/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1"/>
      <c r="AW125" s="51"/>
      <c r="AX125" s="51"/>
      <c r="AY125" s="51"/>
      <c r="AZ125" s="51"/>
      <c r="BA125" s="51"/>
      <c r="BB125" s="51"/>
      <c r="BC125" s="51"/>
      <c r="BD125" s="51"/>
      <c r="BE125" s="51"/>
      <c r="BF125" s="51"/>
    </row>
    <row r="126" spans="1:58" ht="18" customHeight="1" x14ac:dyDescent="0.2">
      <c r="A126" s="51"/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  <c r="AE126" s="51"/>
      <c r="AF126" s="51"/>
      <c r="AG126" s="51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1"/>
      <c r="AV126" s="51"/>
      <c r="AW126" s="51"/>
      <c r="AX126" s="51"/>
      <c r="AY126" s="51"/>
      <c r="AZ126" s="51"/>
      <c r="BA126" s="51"/>
      <c r="BB126" s="51"/>
      <c r="BC126" s="51"/>
      <c r="BD126" s="51"/>
      <c r="BE126" s="51"/>
      <c r="BF126" s="51"/>
    </row>
    <row r="127" spans="1:58" ht="18" customHeight="1" x14ac:dyDescent="0.2">
      <c r="A127" s="51"/>
      <c r="B127" s="51"/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E127" s="51"/>
      <c r="AF127" s="51"/>
      <c r="AG127" s="51"/>
      <c r="AH127" s="51"/>
      <c r="AI127" s="51"/>
      <c r="AJ127" s="51"/>
      <c r="AK127" s="51"/>
      <c r="AL127" s="51"/>
      <c r="AM127" s="51"/>
      <c r="AN127" s="51"/>
      <c r="AO127" s="51"/>
      <c r="AP127" s="51"/>
      <c r="AQ127" s="51"/>
      <c r="AR127" s="51"/>
      <c r="AS127" s="51"/>
      <c r="AT127" s="51"/>
      <c r="AU127" s="51"/>
      <c r="AV127" s="51"/>
      <c r="AW127" s="51"/>
      <c r="AX127" s="51"/>
      <c r="AY127" s="51"/>
      <c r="AZ127" s="51"/>
      <c r="BA127" s="51"/>
      <c r="BB127" s="51"/>
      <c r="BC127" s="51"/>
      <c r="BD127" s="51"/>
      <c r="BE127" s="51"/>
      <c r="BF127" s="51"/>
    </row>
    <row r="128" spans="1:58" ht="18" customHeight="1" x14ac:dyDescent="0.2">
      <c r="A128" s="51"/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E128" s="51"/>
      <c r="AF128" s="51"/>
      <c r="AG128" s="51"/>
      <c r="AH128" s="51"/>
      <c r="AI128" s="51"/>
      <c r="AJ128" s="51"/>
      <c r="AK128" s="51"/>
      <c r="AL128" s="51"/>
      <c r="AM128" s="51"/>
      <c r="AN128" s="51"/>
      <c r="AO128" s="51"/>
      <c r="AP128" s="51"/>
      <c r="AQ128" s="51"/>
      <c r="AR128" s="51"/>
      <c r="AS128" s="51"/>
      <c r="AT128" s="51"/>
      <c r="AU128" s="51"/>
      <c r="AV128" s="51"/>
      <c r="AW128" s="51"/>
      <c r="AX128" s="51"/>
      <c r="AY128" s="51"/>
      <c r="AZ128" s="51"/>
      <c r="BA128" s="51"/>
      <c r="BB128" s="51"/>
      <c r="BC128" s="51"/>
      <c r="BD128" s="51"/>
      <c r="BE128" s="51"/>
      <c r="BF128" s="51"/>
    </row>
    <row r="129" spans="1:58" ht="18" customHeight="1" x14ac:dyDescent="0.2">
      <c r="A129" s="51"/>
      <c r="B129" s="51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  <c r="AE129" s="51"/>
      <c r="AF129" s="51"/>
      <c r="AG129" s="51"/>
      <c r="AH129" s="51"/>
      <c r="AI129" s="51"/>
      <c r="AJ129" s="51"/>
      <c r="AK129" s="51"/>
      <c r="AL129" s="51"/>
      <c r="AM129" s="51"/>
      <c r="AN129" s="51"/>
      <c r="AO129" s="51"/>
      <c r="AP129" s="51"/>
      <c r="AQ129" s="51"/>
      <c r="AR129" s="51"/>
      <c r="AS129" s="51"/>
      <c r="AT129" s="51"/>
      <c r="AU129" s="51"/>
      <c r="AV129" s="51"/>
      <c r="AW129" s="51"/>
      <c r="AX129" s="51"/>
      <c r="AY129" s="51"/>
      <c r="AZ129" s="51"/>
      <c r="BA129" s="51"/>
      <c r="BB129" s="51"/>
      <c r="BC129" s="51"/>
      <c r="BD129" s="51"/>
      <c r="BE129" s="51"/>
      <c r="BF129" s="51"/>
    </row>
    <row r="130" spans="1:58" ht="18" customHeight="1" x14ac:dyDescent="0.2">
      <c r="A130" s="51"/>
      <c r="B130" s="51"/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  <c r="AZ130" s="51"/>
      <c r="BA130" s="51"/>
      <c r="BB130" s="51"/>
      <c r="BC130" s="51"/>
      <c r="BD130" s="51"/>
      <c r="BE130" s="51"/>
      <c r="BF130" s="51"/>
    </row>
    <row r="131" spans="1:58" ht="18" customHeight="1" x14ac:dyDescent="0.2">
      <c r="A131" s="51"/>
      <c r="B131" s="51"/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  <c r="BA131" s="51"/>
      <c r="BB131" s="51"/>
      <c r="BC131" s="51"/>
      <c r="BD131" s="51"/>
      <c r="BE131" s="51"/>
      <c r="BF131" s="51"/>
    </row>
    <row r="132" spans="1:58" ht="18" customHeight="1" x14ac:dyDescent="0.2">
      <c r="A132" s="51"/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  <c r="BC132" s="51"/>
      <c r="BD132" s="51"/>
      <c r="BE132" s="51"/>
      <c r="BF132" s="51"/>
    </row>
    <row r="133" spans="1:58" ht="18" customHeight="1" x14ac:dyDescent="0.2">
      <c r="A133" s="51"/>
      <c r="B133" s="51"/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51"/>
      <c r="AC133" s="51"/>
      <c r="AD133" s="51"/>
      <c r="AE133" s="51"/>
      <c r="AF133" s="51"/>
      <c r="AG133" s="51"/>
      <c r="AH133" s="51"/>
      <c r="AI133" s="51"/>
      <c r="AJ133" s="51"/>
      <c r="AK133" s="51"/>
      <c r="AL133" s="51"/>
      <c r="AM133" s="51"/>
      <c r="AN133" s="51"/>
      <c r="AO133" s="51"/>
      <c r="AP133" s="51"/>
      <c r="AQ133" s="51"/>
      <c r="AR133" s="51"/>
      <c r="AS133" s="51"/>
      <c r="AT133" s="51"/>
      <c r="AU133" s="51"/>
      <c r="AV133" s="51"/>
      <c r="AW133" s="51"/>
      <c r="AX133" s="51"/>
      <c r="AY133" s="51"/>
      <c r="AZ133" s="51"/>
      <c r="BA133" s="51"/>
      <c r="BB133" s="51"/>
      <c r="BC133" s="51"/>
      <c r="BD133" s="51"/>
      <c r="BE133" s="51"/>
      <c r="BF133" s="51"/>
    </row>
    <row r="134" spans="1:58" ht="18" customHeight="1" x14ac:dyDescent="0.2">
      <c r="A134" s="51"/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51"/>
      <c r="AC134" s="51"/>
      <c r="AD134" s="51"/>
      <c r="AE134" s="51"/>
      <c r="AF134" s="51"/>
      <c r="AG134" s="51"/>
      <c r="AH134" s="51"/>
      <c r="AI134" s="51"/>
      <c r="AJ134" s="51"/>
      <c r="AK134" s="51"/>
      <c r="AL134" s="51"/>
      <c r="AM134" s="51"/>
      <c r="AN134" s="51"/>
      <c r="AO134" s="51"/>
      <c r="AP134" s="51"/>
      <c r="AQ134" s="51"/>
      <c r="AR134" s="51"/>
      <c r="AS134" s="51"/>
      <c r="AT134" s="51"/>
      <c r="AU134" s="51"/>
      <c r="AV134" s="51"/>
      <c r="AW134" s="51"/>
      <c r="AX134" s="51"/>
      <c r="AY134" s="51"/>
      <c r="AZ134" s="51"/>
      <c r="BA134" s="51"/>
      <c r="BB134" s="51"/>
      <c r="BC134" s="51"/>
      <c r="BD134" s="51"/>
      <c r="BE134" s="51"/>
      <c r="BF134" s="51"/>
    </row>
    <row r="135" spans="1:58" ht="18" customHeight="1" x14ac:dyDescent="0.2">
      <c r="A135" s="51"/>
      <c r="B135" s="51"/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  <c r="BC135" s="51"/>
      <c r="BD135" s="51"/>
      <c r="BE135" s="51"/>
      <c r="BF135" s="51"/>
    </row>
    <row r="136" spans="1:58" ht="18" customHeight="1" x14ac:dyDescent="0.2">
      <c r="A136" s="51"/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51"/>
      <c r="AC136" s="51"/>
      <c r="AD136" s="51"/>
      <c r="AE136" s="51"/>
      <c r="AF136" s="51"/>
      <c r="AG136" s="51"/>
      <c r="AH136" s="51"/>
      <c r="AI136" s="51"/>
      <c r="AJ136" s="51"/>
      <c r="AK136" s="51"/>
      <c r="AL136" s="51"/>
      <c r="AM136" s="51"/>
      <c r="AN136" s="51"/>
      <c r="AO136" s="51"/>
      <c r="AP136" s="51"/>
      <c r="AQ136" s="51"/>
      <c r="AR136" s="51"/>
      <c r="AS136" s="51"/>
      <c r="AT136" s="51"/>
      <c r="AU136" s="51"/>
      <c r="AV136" s="51"/>
      <c r="AW136" s="51"/>
      <c r="AX136" s="51"/>
      <c r="AY136" s="51"/>
      <c r="AZ136" s="51"/>
      <c r="BA136" s="51"/>
      <c r="BB136" s="51"/>
      <c r="BC136" s="51"/>
      <c r="BD136" s="51"/>
      <c r="BE136" s="51"/>
      <c r="BF136" s="51"/>
    </row>
    <row r="137" spans="1:58" ht="18" customHeight="1" x14ac:dyDescent="0.2">
      <c r="A137" s="51"/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51"/>
      <c r="AC137" s="51"/>
      <c r="AD137" s="51"/>
      <c r="AE137" s="51"/>
      <c r="AF137" s="51"/>
      <c r="AG137" s="51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  <c r="AS137" s="51"/>
      <c r="AT137" s="51"/>
      <c r="AU137" s="51"/>
      <c r="AV137" s="51"/>
      <c r="AW137" s="51"/>
      <c r="AX137" s="51"/>
      <c r="AY137" s="51"/>
      <c r="AZ137" s="51"/>
      <c r="BA137" s="51"/>
      <c r="BB137" s="51"/>
      <c r="BC137" s="51"/>
      <c r="BD137" s="51"/>
      <c r="BE137" s="51"/>
      <c r="BF137" s="51"/>
    </row>
    <row r="138" spans="1:58" ht="18" customHeight="1" x14ac:dyDescent="0.2">
      <c r="A138" s="51"/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  <c r="BC138" s="51"/>
      <c r="BD138" s="51"/>
      <c r="BE138" s="51"/>
      <c r="BF138" s="51"/>
    </row>
    <row r="139" spans="1:58" ht="18" customHeight="1" x14ac:dyDescent="0.2">
      <c r="A139" s="51"/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51"/>
      <c r="AC139" s="51"/>
      <c r="AD139" s="51"/>
      <c r="AE139" s="51"/>
      <c r="AF139" s="51"/>
      <c r="AG139" s="51"/>
      <c r="AH139" s="51"/>
      <c r="AI139" s="51"/>
      <c r="AJ139" s="51"/>
      <c r="AK139" s="51"/>
      <c r="AL139" s="51"/>
      <c r="AM139" s="51"/>
      <c r="AN139" s="51"/>
      <c r="AO139" s="51"/>
      <c r="AP139" s="51"/>
      <c r="AQ139" s="51"/>
      <c r="AR139" s="51"/>
      <c r="AS139" s="51"/>
      <c r="AT139" s="51"/>
      <c r="AU139" s="51"/>
      <c r="AV139" s="51"/>
      <c r="AW139" s="51"/>
      <c r="AX139" s="51"/>
      <c r="AY139" s="51"/>
      <c r="AZ139" s="51"/>
      <c r="BA139" s="51"/>
      <c r="BB139" s="51"/>
      <c r="BC139" s="51"/>
      <c r="BD139" s="51"/>
      <c r="BE139" s="51"/>
      <c r="BF139" s="51"/>
    </row>
    <row r="140" spans="1:58" ht="18" customHeight="1" x14ac:dyDescent="0.2">
      <c r="A140" s="51"/>
      <c r="B140" s="51"/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51"/>
      <c r="AC140" s="51"/>
      <c r="AD140" s="51"/>
      <c r="AE140" s="51"/>
      <c r="AF140" s="51"/>
      <c r="AG140" s="51"/>
      <c r="AH140" s="51"/>
      <c r="AI140" s="51"/>
      <c r="AJ140" s="51"/>
      <c r="AK140" s="51"/>
      <c r="AL140" s="51"/>
      <c r="AM140" s="51"/>
      <c r="AN140" s="51"/>
      <c r="AO140" s="51"/>
      <c r="AP140" s="51"/>
      <c r="AQ140" s="51"/>
      <c r="AR140" s="51"/>
      <c r="AS140" s="51"/>
      <c r="AT140" s="51"/>
      <c r="AU140" s="51"/>
      <c r="AV140" s="51"/>
      <c r="AW140" s="51"/>
      <c r="AX140" s="51"/>
      <c r="AY140" s="51"/>
      <c r="AZ140" s="51"/>
      <c r="BA140" s="51"/>
      <c r="BB140" s="51"/>
      <c r="BC140" s="51"/>
      <c r="BD140" s="51"/>
      <c r="BE140" s="51"/>
      <c r="BF140" s="51"/>
    </row>
    <row r="141" spans="1:58" ht="18" customHeight="1" x14ac:dyDescent="0.2">
      <c r="A141" s="51"/>
      <c r="B141" s="51"/>
      <c r="C141" s="51"/>
      <c r="D141" s="51"/>
      <c r="E141" s="51"/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51"/>
      <c r="AC141" s="51"/>
      <c r="AD141" s="51"/>
      <c r="AE141" s="51"/>
      <c r="AF141" s="51"/>
      <c r="AG141" s="51"/>
      <c r="AH141" s="51"/>
      <c r="AI141" s="51"/>
      <c r="AJ141" s="51"/>
      <c r="AK141" s="51"/>
      <c r="AL141" s="51"/>
      <c r="AM141" s="51"/>
      <c r="AN141" s="51"/>
      <c r="AO141" s="51"/>
      <c r="AP141" s="51"/>
      <c r="AQ141" s="51"/>
      <c r="AR141" s="51"/>
      <c r="AS141" s="51"/>
      <c r="AT141" s="51"/>
      <c r="AU141" s="51"/>
      <c r="AV141" s="51"/>
      <c r="AW141" s="51"/>
      <c r="AX141" s="51"/>
      <c r="AY141" s="51"/>
      <c r="AZ141" s="51"/>
      <c r="BA141" s="51"/>
      <c r="BB141" s="51"/>
      <c r="BC141" s="51"/>
      <c r="BD141" s="51"/>
      <c r="BE141" s="51"/>
      <c r="BF141" s="51"/>
    </row>
    <row r="142" spans="1:58" ht="18" customHeight="1" x14ac:dyDescent="0.2">
      <c r="A142" s="51"/>
      <c r="B142" s="51"/>
      <c r="C142" s="51"/>
      <c r="D142" s="51"/>
      <c r="E142" s="51"/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51"/>
      <c r="AC142" s="51"/>
      <c r="AD142" s="51"/>
      <c r="AE142" s="51"/>
      <c r="AF142" s="51"/>
      <c r="AG142" s="51"/>
      <c r="AH142" s="51"/>
      <c r="AI142" s="51"/>
      <c r="AJ142" s="51"/>
      <c r="AK142" s="51"/>
      <c r="AL142" s="51"/>
      <c r="AM142" s="51"/>
      <c r="AN142" s="51"/>
      <c r="AO142" s="51"/>
      <c r="AP142" s="51"/>
      <c r="AQ142" s="51"/>
      <c r="AR142" s="51"/>
      <c r="AS142" s="51"/>
      <c r="AT142" s="51"/>
      <c r="AU142" s="51"/>
      <c r="AV142" s="51"/>
      <c r="AW142" s="51"/>
      <c r="AX142" s="51"/>
      <c r="AY142" s="51"/>
      <c r="AZ142" s="51"/>
      <c r="BA142" s="51"/>
      <c r="BB142" s="51"/>
      <c r="BC142" s="51"/>
      <c r="BD142" s="51"/>
      <c r="BE142" s="51"/>
      <c r="BF142" s="51"/>
    </row>
    <row r="143" spans="1:58" ht="18" customHeight="1" x14ac:dyDescent="0.2">
      <c r="A143" s="51"/>
      <c r="B143" s="51"/>
      <c r="C143" s="51"/>
      <c r="D143" s="51"/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51"/>
      <c r="AC143" s="51"/>
      <c r="AD143" s="51"/>
      <c r="AE143" s="51"/>
      <c r="AF143" s="51"/>
      <c r="AG143" s="51"/>
      <c r="AH143" s="51"/>
      <c r="AI143" s="51"/>
      <c r="AJ143" s="51"/>
      <c r="AK143" s="51"/>
      <c r="AL143" s="51"/>
      <c r="AM143" s="51"/>
      <c r="AN143" s="51"/>
      <c r="AO143" s="51"/>
      <c r="AP143" s="51"/>
      <c r="AQ143" s="51"/>
      <c r="AR143" s="51"/>
      <c r="AS143" s="51"/>
      <c r="AT143" s="51"/>
      <c r="AU143" s="51"/>
      <c r="AV143" s="51"/>
      <c r="AW143" s="51"/>
      <c r="AX143" s="51"/>
      <c r="AY143" s="51"/>
      <c r="AZ143" s="51"/>
      <c r="BA143" s="51"/>
      <c r="BB143" s="51"/>
      <c r="BC143" s="51"/>
      <c r="BD143" s="51"/>
      <c r="BE143" s="51"/>
      <c r="BF143" s="51"/>
    </row>
    <row r="144" spans="1:58" ht="18" customHeight="1" x14ac:dyDescent="0.2">
      <c r="A144" s="51"/>
      <c r="B144" s="51"/>
      <c r="C144" s="51"/>
      <c r="D144" s="51"/>
      <c r="E144" s="51"/>
      <c r="F144" s="51"/>
      <c r="G144" s="51"/>
      <c r="H144" s="51"/>
      <c r="I144" s="51"/>
      <c r="J144" s="51"/>
      <c r="K144" s="51"/>
      <c r="L144" s="51"/>
      <c r="M144" s="51"/>
      <c r="N144" s="51"/>
      <c r="O144" s="51"/>
      <c r="P144" s="51"/>
      <c r="Q144" s="51"/>
      <c r="R144" s="51"/>
      <c r="S144" s="51"/>
      <c r="T144" s="51"/>
      <c r="U144" s="51"/>
      <c r="V144" s="51"/>
      <c r="W144" s="51"/>
      <c r="X144" s="51"/>
      <c r="Y144" s="51"/>
      <c r="Z144" s="51"/>
      <c r="AA144" s="51"/>
      <c r="AB144" s="51"/>
      <c r="AC144" s="51"/>
      <c r="AD144" s="51"/>
      <c r="AE144" s="51"/>
      <c r="AF144" s="51"/>
      <c r="AG144" s="51"/>
      <c r="AH144" s="51"/>
      <c r="AI144" s="51"/>
      <c r="AJ144" s="51"/>
      <c r="AK144" s="51"/>
      <c r="AL144" s="51"/>
      <c r="AM144" s="51"/>
      <c r="AN144" s="51"/>
      <c r="AO144" s="51"/>
      <c r="AP144" s="51"/>
      <c r="AQ144" s="51"/>
      <c r="AR144" s="51"/>
      <c r="AS144" s="51"/>
      <c r="AT144" s="51"/>
      <c r="AU144" s="51"/>
      <c r="AV144" s="51"/>
      <c r="AW144" s="51"/>
      <c r="AX144" s="51"/>
      <c r="AY144" s="51"/>
      <c r="AZ144" s="51"/>
      <c r="BA144" s="51"/>
      <c r="BB144" s="51"/>
      <c r="BC144" s="51"/>
      <c r="BD144" s="51"/>
      <c r="BE144" s="51"/>
      <c r="BF144" s="51"/>
    </row>
    <row r="145" spans="1:58" ht="18" customHeight="1" x14ac:dyDescent="0.2">
      <c r="A145" s="51"/>
      <c r="B145" s="51"/>
      <c r="C145" s="51"/>
      <c r="D145" s="51"/>
      <c r="E145" s="51"/>
      <c r="F145" s="51"/>
      <c r="G145" s="51"/>
      <c r="H145" s="51"/>
      <c r="I145" s="51"/>
      <c r="J145" s="51"/>
      <c r="K145" s="51"/>
      <c r="L145" s="51"/>
      <c r="M145" s="51"/>
      <c r="N145" s="51"/>
      <c r="O145" s="51"/>
      <c r="P145" s="51"/>
      <c r="Q145" s="51"/>
      <c r="R145" s="51"/>
      <c r="S145" s="51"/>
      <c r="T145" s="51"/>
      <c r="U145" s="51"/>
      <c r="V145" s="51"/>
      <c r="W145" s="51"/>
      <c r="X145" s="51"/>
      <c r="Y145" s="51"/>
      <c r="Z145" s="51"/>
      <c r="AA145" s="51"/>
      <c r="AB145" s="51"/>
      <c r="AC145" s="51"/>
      <c r="AD145" s="51"/>
      <c r="AE145" s="51"/>
      <c r="AF145" s="51"/>
      <c r="AG145" s="51"/>
      <c r="AH145" s="51"/>
      <c r="AI145" s="51"/>
      <c r="AJ145" s="51"/>
      <c r="AK145" s="51"/>
      <c r="AL145" s="51"/>
      <c r="AM145" s="51"/>
      <c r="AN145" s="51"/>
      <c r="AO145" s="51"/>
      <c r="AP145" s="51"/>
      <c r="AQ145" s="51"/>
      <c r="AR145" s="51"/>
      <c r="AS145" s="51"/>
      <c r="AT145" s="51"/>
      <c r="AU145" s="51"/>
      <c r="AV145" s="51"/>
      <c r="AW145" s="51"/>
      <c r="AX145" s="51"/>
      <c r="AY145" s="51"/>
      <c r="AZ145" s="51"/>
      <c r="BA145" s="51"/>
      <c r="BB145" s="51"/>
      <c r="BC145" s="51"/>
      <c r="BD145" s="51"/>
      <c r="BE145" s="51"/>
      <c r="BF145" s="51"/>
    </row>
    <row r="146" spans="1:58" ht="18" customHeight="1" x14ac:dyDescent="0.2">
      <c r="A146" s="51"/>
      <c r="B146" s="51"/>
      <c r="C146" s="51"/>
      <c r="D146" s="51"/>
      <c r="E146" s="51"/>
      <c r="F146" s="51"/>
      <c r="G146" s="51"/>
      <c r="H146" s="51"/>
      <c r="I146" s="51"/>
      <c r="J146" s="51"/>
      <c r="K146" s="51"/>
      <c r="L146" s="51"/>
      <c r="M146" s="51"/>
      <c r="N146" s="51"/>
      <c r="O146" s="51"/>
      <c r="P146" s="51"/>
      <c r="Q146" s="51"/>
      <c r="R146" s="51"/>
      <c r="S146" s="51"/>
      <c r="T146" s="51"/>
      <c r="U146" s="51"/>
      <c r="V146" s="51"/>
      <c r="W146" s="51"/>
      <c r="X146" s="51"/>
      <c r="Y146" s="51"/>
      <c r="Z146" s="51"/>
      <c r="AA146" s="51"/>
      <c r="AB146" s="51"/>
      <c r="AC146" s="51"/>
      <c r="AD146" s="51"/>
      <c r="AE146" s="51"/>
      <c r="AF146" s="51"/>
      <c r="AG146" s="51"/>
      <c r="AH146" s="51"/>
      <c r="AI146" s="51"/>
      <c r="AJ146" s="51"/>
      <c r="AK146" s="51"/>
      <c r="AL146" s="51"/>
      <c r="AM146" s="51"/>
      <c r="AN146" s="51"/>
      <c r="AO146" s="51"/>
      <c r="AP146" s="51"/>
      <c r="AQ146" s="51"/>
      <c r="AR146" s="51"/>
      <c r="AS146" s="51"/>
      <c r="AT146" s="51"/>
      <c r="AU146" s="51"/>
      <c r="AV146" s="51"/>
      <c r="AW146" s="51"/>
      <c r="AX146" s="51"/>
      <c r="AY146" s="51"/>
      <c r="AZ146" s="51"/>
      <c r="BA146" s="51"/>
      <c r="BB146" s="51"/>
      <c r="BC146" s="51"/>
      <c r="BD146" s="51"/>
      <c r="BE146" s="51"/>
      <c r="BF146" s="51"/>
    </row>
    <row r="147" spans="1:58" ht="18" customHeight="1" x14ac:dyDescent="0.2">
      <c r="A147" s="51"/>
      <c r="B147" s="51"/>
      <c r="C147" s="51"/>
      <c r="D147" s="51"/>
      <c r="E147" s="51"/>
      <c r="F147" s="51"/>
      <c r="G147" s="51"/>
      <c r="H147" s="51"/>
      <c r="I147" s="51"/>
      <c r="J147" s="51"/>
      <c r="K147" s="51"/>
      <c r="L147" s="51"/>
      <c r="M147" s="51"/>
      <c r="N147" s="51"/>
      <c r="O147" s="51"/>
      <c r="P147" s="51"/>
      <c r="Q147" s="51"/>
      <c r="R147" s="51"/>
      <c r="S147" s="51"/>
      <c r="T147" s="51"/>
      <c r="U147" s="51"/>
      <c r="V147" s="51"/>
      <c r="W147" s="51"/>
      <c r="X147" s="51"/>
      <c r="Y147" s="51"/>
      <c r="Z147" s="51"/>
      <c r="AA147" s="51"/>
      <c r="AB147" s="51"/>
      <c r="AC147" s="51"/>
      <c r="AD147" s="51"/>
      <c r="AE147" s="51"/>
      <c r="AF147" s="51"/>
      <c r="AG147" s="51"/>
      <c r="AH147" s="51"/>
      <c r="AI147" s="51"/>
      <c r="AJ147" s="51"/>
      <c r="AK147" s="51"/>
      <c r="AL147" s="51"/>
      <c r="AM147" s="51"/>
      <c r="AN147" s="51"/>
      <c r="AO147" s="51"/>
      <c r="AP147" s="51"/>
      <c r="AQ147" s="51"/>
      <c r="AR147" s="51"/>
      <c r="AS147" s="51"/>
      <c r="AT147" s="51"/>
      <c r="AU147" s="51"/>
      <c r="AV147" s="51"/>
      <c r="AW147" s="51"/>
      <c r="AX147" s="51"/>
      <c r="AY147" s="51"/>
      <c r="AZ147" s="51"/>
      <c r="BA147" s="51"/>
      <c r="BB147" s="51"/>
      <c r="BC147" s="51"/>
      <c r="BD147" s="51"/>
      <c r="BE147" s="51"/>
      <c r="BF147" s="51"/>
    </row>
    <row r="148" spans="1:58" ht="18" customHeight="1" x14ac:dyDescent="0.2">
      <c r="A148" s="51"/>
      <c r="B148" s="51"/>
      <c r="C148" s="51"/>
      <c r="D148" s="51"/>
      <c r="E148" s="51"/>
      <c r="F148" s="51"/>
      <c r="G148" s="51"/>
      <c r="H148" s="51"/>
      <c r="I148" s="51"/>
      <c r="J148" s="51"/>
      <c r="K148" s="51"/>
      <c r="L148" s="51"/>
      <c r="M148" s="51"/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51"/>
      <c r="AG148" s="51"/>
      <c r="AH148" s="51"/>
      <c r="AI148" s="51"/>
      <c r="AJ148" s="51"/>
      <c r="AK148" s="51"/>
      <c r="AL148" s="51"/>
      <c r="AM148" s="51"/>
      <c r="AN148" s="51"/>
      <c r="AO148" s="51"/>
      <c r="AP148" s="51"/>
      <c r="AQ148" s="51"/>
      <c r="AR148" s="51"/>
      <c r="AS148" s="51"/>
      <c r="AT148" s="51"/>
      <c r="AU148" s="51"/>
      <c r="AV148" s="51"/>
      <c r="AW148" s="51"/>
      <c r="AX148" s="51"/>
      <c r="AY148" s="51"/>
      <c r="AZ148" s="51"/>
      <c r="BA148" s="51"/>
      <c r="BB148" s="51"/>
      <c r="BC148" s="51"/>
      <c r="BD148" s="51"/>
      <c r="BE148" s="51"/>
      <c r="BF148" s="51"/>
    </row>
    <row r="149" spans="1:58" ht="18" customHeight="1" x14ac:dyDescent="0.2">
      <c r="A149" s="51"/>
      <c r="B149" s="51"/>
      <c r="C149" s="51"/>
      <c r="D149" s="51"/>
      <c r="E149" s="51"/>
      <c r="F149" s="51"/>
      <c r="G149" s="51"/>
      <c r="H149" s="51"/>
      <c r="I149" s="51"/>
      <c r="J149" s="51"/>
      <c r="K149" s="51"/>
      <c r="L149" s="51"/>
      <c r="M149" s="51"/>
      <c r="N149" s="51"/>
      <c r="O149" s="51"/>
      <c r="P149" s="51"/>
      <c r="Q149" s="51"/>
      <c r="R149" s="51"/>
      <c r="S149" s="51"/>
      <c r="T149" s="51"/>
      <c r="U149" s="51"/>
      <c r="V149" s="51"/>
      <c r="W149" s="51"/>
      <c r="X149" s="51"/>
      <c r="Y149" s="51"/>
      <c r="Z149" s="51"/>
      <c r="AA149" s="51"/>
      <c r="AB149" s="51"/>
      <c r="AC149" s="51"/>
      <c r="AD149" s="51"/>
      <c r="AE149" s="51"/>
      <c r="AF149" s="51"/>
      <c r="AG149" s="51"/>
      <c r="AH149" s="51"/>
      <c r="AI149" s="51"/>
      <c r="AJ149" s="51"/>
      <c r="AK149" s="51"/>
      <c r="AL149" s="51"/>
      <c r="AM149" s="51"/>
      <c r="AN149" s="51"/>
      <c r="AO149" s="51"/>
      <c r="AP149" s="51"/>
      <c r="AQ149" s="51"/>
      <c r="AR149" s="51"/>
      <c r="AS149" s="51"/>
      <c r="AT149" s="51"/>
      <c r="AU149" s="51"/>
      <c r="AV149" s="51"/>
      <c r="AW149" s="51"/>
      <c r="AX149" s="51"/>
      <c r="AY149" s="51"/>
      <c r="AZ149" s="51"/>
      <c r="BA149" s="51"/>
      <c r="BB149" s="51"/>
      <c r="BC149" s="51"/>
      <c r="BD149" s="51"/>
      <c r="BE149" s="51"/>
      <c r="BF149" s="51"/>
    </row>
    <row r="150" spans="1:58" ht="18" customHeight="1" x14ac:dyDescent="0.2">
      <c r="A150" s="51"/>
      <c r="B150" s="51"/>
      <c r="C150" s="51"/>
      <c r="D150" s="51"/>
      <c r="E150" s="51"/>
      <c r="F150" s="51"/>
      <c r="G150" s="51"/>
      <c r="H150" s="51"/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  <c r="BC150" s="51"/>
      <c r="BD150" s="51"/>
      <c r="BE150" s="51"/>
      <c r="BF150" s="51"/>
    </row>
    <row r="151" spans="1:58" ht="18" customHeight="1" x14ac:dyDescent="0.2">
      <c r="A151" s="51"/>
      <c r="B151" s="51"/>
      <c r="C151" s="51"/>
      <c r="D151" s="51"/>
      <c r="E151" s="51"/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  <c r="W151" s="51"/>
      <c r="X151" s="51"/>
      <c r="Y151" s="51"/>
      <c r="Z151" s="51"/>
      <c r="AA151" s="51"/>
      <c r="AB151" s="51"/>
      <c r="AC151" s="51"/>
      <c r="AD151" s="51"/>
      <c r="AE151" s="51"/>
      <c r="AF151" s="51"/>
      <c r="AG151" s="51"/>
      <c r="AH151" s="51"/>
      <c r="AI151" s="51"/>
      <c r="AJ151" s="51"/>
      <c r="AK151" s="51"/>
      <c r="AL151" s="51"/>
      <c r="AM151" s="51"/>
      <c r="AN151" s="51"/>
      <c r="AO151" s="51"/>
      <c r="AP151" s="51"/>
      <c r="AQ151" s="51"/>
      <c r="AR151" s="51"/>
      <c r="AS151" s="51"/>
      <c r="AT151" s="51"/>
      <c r="AU151" s="51"/>
      <c r="AV151" s="51"/>
      <c r="AW151" s="51"/>
      <c r="AX151" s="51"/>
      <c r="AY151" s="51"/>
      <c r="AZ151" s="51"/>
      <c r="BA151" s="51"/>
      <c r="BB151" s="51"/>
      <c r="BC151" s="51"/>
      <c r="BD151" s="51"/>
      <c r="BE151" s="51"/>
      <c r="BF151" s="51"/>
    </row>
    <row r="152" spans="1:58" ht="18" customHeight="1" x14ac:dyDescent="0.2">
      <c r="A152" s="51"/>
      <c r="B152" s="51"/>
      <c r="C152" s="51"/>
      <c r="D152" s="51"/>
      <c r="E152" s="51"/>
      <c r="F152" s="51"/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  <c r="S152" s="51"/>
      <c r="T152" s="51"/>
      <c r="U152" s="51"/>
      <c r="V152" s="51"/>
      <c r="W152" s="51"/>
      <c r="X152" s="51"/>
      <c r="Y152" s="51"/>
      <c r="Z152" s="51"/>
      <c r="AA152" s="51"/>
      <c r="AB152" s="51"/>
      <c r="AC152" s="51"/>
      <c r="AD152" s="51"/>
      <c r="AE152" s="51"/>
      <c r="AF152" s="51"/>
      <c r="AG152" s="51"/>
      <c r="AH152" s="51"/>
      <c r="AI152" s="51"/>
      <c r="AJ152" s="51"/>
      <c r="AK152" s="51"/>
      <c r="AL152" s="51"/>
      <c r="AM152" s="51"/>
      <c r="AN152" s="51"/>
      <c r="AO152" s="51"/>
      <c r="AP152" s="51"/>
      <c r="AQ152" s="51"/>
      <c r="AR152" s="51"/>
      <c r="AS152" s="51"/>
      <c r="AT152" s="51"/>
      <c r="AU152" s="51"/>
      <c r="AV152" s="51"/>
      <c r="AW152" s="51"/>
      <c r="AX152" s="51"/>
      <c r="AY152" s="51"/>
      <c r="AZ152" s="51"/>
      <c r="BA152" s="51"/>
      <c r="BB152" s="51"/>
      <c r="BC152" s="51"/>
      <c r="BD152" s="51"/>
      <c r="BE152" s="51"/>
      <c r="BF152" s="51"/>
    </row>
    <row r="153" spans="1:58" ht="18" customHeight="1" x14ac:dyDescent="0.2">
      <c r="A153" s="51"/>
      <c r="B153" s="51"/>
      <c r="C153" s="51"/>
      <c r="D153" s="51"/>
      <c r="E153" s="51"/>
      <c r="F153" s="51"/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  <c r="BC153" s="51"/>
      <c r="BD153" s="51"/>
      <c r="BE153" s="51"/>
      <c r="BF153" s="51"/>
    </row>
    <row r="154" spans="1:58" ht="18" customHeight="1" x14ac:dyDescent="0.2">
      <c r="A154" s="51"/>
      <c r="B154" s="51"/>
      <c r="C154" s="51"/>
      <c r="D154" s="51"/>
      <c r="E154" s="51"/>
      <c r="F154" s="51"/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  <c r="S154" s="51"/>
      <c r="T154" s="51"/>
      <c r="U154" s="51"/>
      <c r="V154" s="51"/>
      <c r="W154" s="51"/>
      <c r="X154" s="51"/>
      <c r="Y154" s="51"/>
      <c r="Z154" s="51"/>
      <c r="AA154" s="51"/>
      <c r="AB154" s="51"/>
      <c r="AC154" s="51"/>
      <c r="AD154" s="51"/>
      <c r="AE154" s="51"/>
      <c r="AF154" s="51"/>
      <c r="AG154" s="51"/>
      <c r="AH154" s="51"/>
      <c r="AI154" s="51"/>
      <c r="AJ154" s="51"/>
      <c r="AK154" s="51"/>
      <c r="AL154" s="51"/>
      <c r="AM154" s="51"/>
      <c r="AN154" s="51"/>
      <c r="AO154" s="51"/>
      <c r="AP154" s="51"/>
      <c r="AQ154" s="51"/>
      <c r="AR154" s="51"/>
      <c r="AS154" s="51"/>
      <c r="AT154" s="51"/>
      <c r="AU154" s="51"/>
      <c r="AV154" s="51"/>
      <c r="AW154" s="51"/>
      <c r="AX154" s="51"/>
      <c r="AY154" s="51"/>
      <c r="AZ154" s="51"/>
      <c r="BA154" s="51"/>
      <c r="BB154" s="51"/>
      <c r="BC154" s="51"/>
      <c r="BD154" s="51"/>
      <c r="BE154" s="51"/>
      <c r="BF154" s="51"/>
    </row>
    <row r="155" spans="1:58" ht="18" customHeight="1" x14ac:dyDescent="0.2">
      <c r="A155" s="51"/>
      <c r="B155" s="51"/>
      <c r="C155" s="51"/>
      <c r="D155" s="51"/>
      <c r="E155" s="51"/>
      <c r="F155" s="51"/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  <c r="S155" s="51"/>
      <c r="T155" s="51"/>
      <c r="U155" s="51"/>
      <c r="V155" s="51"/>
      <c r="W155" s="51"/>
      <c r="X155" s="51"/>
      <c r="Y155" s="51"/>
      <c r="Z155" s="51"/>
      <c r="AA155" s="51"/>
      <c r="AB155" s="51"/>
      <c r="AC155" s="51"/>
      <c r="AD155" s="51"/>
      <c r="AE155" s="51"/>
      <c r="AF155" s="51"/>
      <c r="AG155" s="51"/>
      <c r="AH155" s="51"/>
      <c r="AI155" s="51"/>
      <c r="AJ155" s="51"/>
      <c r="AK155" s="51"/>
      <c r="AL155" s="51"/>
      <c r="AM155" s="51"/>
      <c r="AN155" s="51"/>
      <c r="AO155" s="51"/>
      <c r="AP155" s="51"/>
      <c r="AQ155" s="51"/>
      <c r="AR155" s="51"/>
      <c r="AS155" s="51"/>
      <c r="AT155" s="51"/>
      <c r="AU155" s="51"/>
      <c r="AV155" s="51"/>
      <c r="AW155" s="51"/>
      <c r="AX155" s="51"/>
      <c r="AY155" s="51"/>
      <c r="AZ155" s="51"/>
      <c r="BA155" s="51"/>
      <c r="BB155" s="51"/>
      <c r="BC155" s="51"/>
      <c r="BD155" s="51"/>
      <c r="BE155" s="51"/>
      <c r="BF155" s="51"/>
    </row>
    <row r="156" spans="1:58" ht="18" customHeight="1" x14ac:dyDescent="0.2">
      <c r="A156" s="51"/>
      <c r="B156" s="51"/>
      <c r="C156" s="51"/>
      <c r="D156" s="51"/>
      <c r="E156" s="51"/>
      <c r="F156" s="51"/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  <c r="BC156" s="51"/>
      <c r="BD156" s="51"/>
      <c r="BE156" s="51"/>
      <c r="BF156" s="51"/>
    </row>
    <row r="157" spans="1:58" ht="18" customHeight="1" x14ac:dyDescent="0.2">
      <c r="A157" s="51"/>
      <c r="B157" s="51"/>
      <c r="C157" s="51"/>
      <c r="D157" s="51"/>
      <c r="E157" s="51"/>
      <c r="F157" s="51"/>
      <c r="G157" s="51"/>
      <c r="H157" s="51"/>
      <c r="I157" s="51"/>
      <c r="J157" s="51"/>
      <c r="K157" s="51"/>
      <c r="L157" s="51"/>
      <c r="M157" s="51"/>
      <c r="N157" s="51"/>
      <c r="O157" s="51"/>
      <c r="P157" s="51"/>
      <c r="Q157" s="51"/>
      <c r="R157" s="51"/>
      <c r="S157" s="51"/>
      <c r="T157" s="51"/>
      <c r="U157" s="51"/>
      <c r="V157" s="51"/>
      <c r="W157" s="51"/>
      <c r="X157" s="51"/>
      <c r="Y157" s="51"/>
      <c r="Z157" s="51"/>
      <c r="AA157" s="51"/>
      <c r="AB157" s="51"/>
      <c r="AC157" s="51"/>
      <c r="AD157" s="51"/>
      <c r="AE157" s="51"/>
      <c r="AF157" s="51"/>
      <c r="AG157" s="51"/>
      <c r="AH157" s="51"/>
      <c r="AI157" s="51"/>
      <c r="AJ157" s="51"/>
      <c r="AK157" s="51"/>
      <c r="AL157" s="51"/>
      <c r="AM157" s="51"/>
      <c r="AN157" s="51"/>
      <c r="AO157" s="51"/>
      <c r="AP157" s="51"/>
      <c r="AQ157" s="51"/>
      <c r="AR157" s="51"/>
      <c r="AS157" s="51"/>
      <c r="AT157" s="51"/>
      <c r="AU157" s="51"/>
      <c r="AV157" s="51"/>
      <c r="AW157" s="51"/>
      <c r="AX157" s="51"/>
      <c r="AY157" s="51"/>
      <c r="AZ157" s="51"/>
      <c r="BA157" s="51"/>
      <c r="BB157" s="51"/>
      <c r="BC157" s="51"/>
      <c r="BD157" s="51"/>
      <c r="BE157" s="51"/>
      <c r="BF157" s="51"/>
    </row>
    <row r="158" spans="1:58" ht="18" customHeight="1" x14ac:dyDescent="0.2">
      <c r="A158" s="51"/>
      <c r="B158" s="51"/>
      <c r="C158" s="51"/>
      <c r="D158" s="51"/>
      <c r="E158" s="51"/>
      <c r="F158" s="51"/>
      <c r="G158" s="51"/>
      <c r="H158" s="51"/>
      <c r="I158" s="51"/>
      <c r="J158" s="51"/>
      <c r="K158" s="51"/>
      <c r="L158" s="51"/>
      <c r="M158" s="51"/>
      <c r="N158" s="51"/>
      <c r="O158" s="51"/>
      <c r="P158" s="51"/>
      <c r="Q158" s="51"/>
      <c r="R158" s="51"/>
      <c r="S158" s="51"/>
      <c r="T158" s="51"/>
      <c r="U158" s="51"/>
      <c r="V158" s="51"/>
      <c r="W158" s="51"/>
      <c r="X158" s="51"/>
      <c r="Y158" s="51"/>
      <c r="Z158" s="51"/>
      <c r="AA158" s="51"/>
      <c r="AB158" s="51"/>
      <c r="AC158" s="51"/>
      <c r="AD158" s="51"/>
      <c r="AE158" s="51"/>
      <c r="AF158" s="51"/>
      <c r="AG158" s="51"/>
      <c r="AH158" s="51"/>
      <c r="AI158" s="51"/>
      <c r="AJ158" s="51"/>
      <c r="AK158" s="51"/>
      <c r="AL158" s="51"/>
      <c r="AM158" s="51"/>
      <c r="AN158" s="51"/>
      <c r="AO158" s="51"/>
      <c r="AP158" s="51"/>
      <c r="AQ158" s="51"/>
      <c r="AR158" s="51"/>
      <c r="AS158" s="51"/>
      <c r="AT158" s="51"/>
      <c r="AU158" s="51"/>
      <c r="AV158" s="51"/>
      <c r="AW158" s="51"/>
      <c r="AX158" s="51"/>
      <c r="AY158" s="51"/>
      <c r="AZ158" s="51"/>
      <c r="BA158" s="51"/>
      <c r="BB158" s="51"/>
      <c r="BC158" s="51"/>
      <c r="BD158" s="51"/>
      <c r="BE158" s="51"/>
      <c r="BF158" s="51"/>
    </row>
    <row r="159" spans="1:58" ht="18" customHeight="1" x14ac:dyDescent="0.2">
      <c r="A159" s="51"/>
      <c r="B159" s="51"/>
      <c r="C159" s="51"/>
      <c r="D159" s="51"/>
      <c r="E159" s="51"/>
      <c r="F159" s="51"/>
      <c r="G159" s="51"/>
      <c r="H159" s="51"/>
      <c r="I159" s="51"/>
      <c r="J159" s="51"/>
      <c r="K159" s="51"/>
      <c r="L159" s="51"/>
      <c r="M159" s="51"/>
      <c r="N159" s="51"/>
      <c r="O159" s="51"/>
      <c r="P159" s="51"/>
      <c r="Q159" s="51"/>
      <c r="R159" s="51"/>
      <c r="S159" s="51"/>
      <c r="T159" s="51"/>
      <c r="U159" s="51"/>
      <c r="V159" s="51"/>
      <c r="W159" s="51"/>
      <c r="X159" s="51"/>
      <c r="Y159" s="51"/>
      <c r="Z159" s="51"/>
      <c r="AA159" s="51"/>
      <c r="AB159" s="51"/>
      <c r="AC159" s="51"/>
      <c r="AD159" s="51"/>
      <c r="AE159" s="51"/>
      <c r="AF159" s="51"/>
      <c r="AG159" s="51"/>
      <c r="AH159" s="51"/>
      <c r="AI159" s="51"/>
      <c r="AJ159" s="51"/>
      <c r="AK159" s="51"/>
      <c r="AL159" s="51"/>
      <c r="AM159" s="51"/>
      <c r="AN159" s="51"/>
      <c r="AO159" s="51"/>
      <c r="AP159" s="51"/>
      <c r="AQ159" s="51"/>
      <c r="AR159" s="51"/>
      <c r="AS159" s="51"/>
      <c r="AT159" s="51"/>
      <c r="AU159" s="51"/>
      <c r="AV159" s="51"/>
      <c r="AW159" s="51"/>
      <c r="AX159" s="51"/>
      <c r="AY159" s="51"/>
      <c r="AZ159" s="51"/>
      <c r="BA159" s="51"/>
      <c r="BB159" s="51"/>
      <c r="BC159" s="51"/>
      <c r="BD159" s="51"/>
      <c r="BE159" s="51"/>
      <c r="BF159" s="51"/>
    </row>
    <row r="160" spans="1:58" ht="18" customHeight="1" x14ac:dyDescent="0.2">
      <c r="A160" s="51"/>
      <c r="B160" s="51"/>
      <c r="C160" s="51"/>
      <c r="D160" s="51"/>
      <c r="E160" s="51"/>
      <c r="F160" s="51"/>
      <c r="G160" s="51"/>
      <c r="H160" s="51"/>
      <c r="I160" s="51"/>
      <c r="J160" s="51"/>
      <c r="K160" s="51"/>
      <c r="L160" s="51"/>
      <c r="M160" s="51"/>
      <c r="N160" s="51"/>
      <c r="O160" s="51"/>
      <c r="P160" s="51"/>
      <c r="Q160" s="51"/>
      <c r="R160" s="51"/>
      <c r="S160" s="51"/>
      <c r="T160" s="51"/>
      <c r="U160" s="51"/>
      <c r="V160" s="51"/>
      <c r="W160" s="51"/>
      <c r="X160" s="51"/>
      <c r="Y160" s="51"/>
      <c r="Z160" s="51"/>
      <c r="AA160" s="51"/>
      <c r="AB160" s="51"/>
      <c r="AC160" s="51"/>
      <c r="AD160" s="51"/>
      <c r="AE160" s="51"/>
      <c r="AF160" s="51"/>
      <c r="AG160" s="51"/>
      <c r="AH160" s="51"/>
      <c r="AI160" s="51"/>
      <c r="AJ160" s="51"/>
      <c r="AK160" s="51"/>
      <c r="AL160" s="51"/>
      <c r="AM160" s="51"/>
      <c r="AN160" s="51"/>
      <c r="AO160" s="51"/>
      <c r="AP160" s="51"/>
      <c r="AQ160" s="51"/>
      <c r="AR160" s="51"/>
      <c r="AS160" s="51"/>
      <c r="AT160" s="51"/>
      <c r="AU160" s="51"/>
      <c r="AV160" s="51"/>
      <c r="AW160" s="51"/>
      <c r="AX160" s="51"/>
      <c r="AY160" s="51"/>
      <c r="AZ160" s="51"/>
      <c r="BA160" s="51"/>
      <c r="BB160" s="51"/>
      <c r="BC160" s="51"/>
      <c r="BD160" s="51"/>
      <c r="BE160" s="51"/>
      <c r="BF160" s="51"/>
    </row>
    <row r="161" spans="1:58" ht="18" customHeight="1" x14ac:dyDescent="0.2">
      <c r="A161" s="51"/>
      <c r="B161" s="51"/>
      <c r="C161" s="51"/>
      <c r="D161" s="51"/>
      <c r="E161" s="51"/>
      <c r="F161" s="51"/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  <c r="S161" s="51"/>
      <c r="T161" s="51"/>
      <c r="U161" s="51"/>
      <c r="V161" s="51"/>
      <c r="W161" s="51"/>
      <c r="X161" s="51"/>
      <c r="Y161" s="51"/>
      <c r="Z161" s="51"/>
      <c r="AA161" s="51"/>
      <c r="AB161" s="51"/>
      <c r="AC161" s="51"/>
      <c r="AD161" s="51"/>
      <c r="AE161" s="51"/>
      <c r="AF161" s="51"/>
      <c r="AG161" s="51"/>
      <c r="AH161" s="51"/>
      <c r="AI161" s="51"/>
      <c r="AJ161" s="51"/>
      <c r="AK161" s="51"/>
      <c r="AL161" s="51"/>
      <c r="AM161" s="51"/>
      <c r="AN161" s="51"/>
      <c r="AO161" s="51"/>
      <c r="AP161" s="51"/>
      <c r="AQ161" s="51"/>
      <c r="AR161" s="51"/>
      <c r="AS161" s="51"/>
      <c r="AT161" s="51"/>
      <c r="AU161" s="51"/>
      <c r="AV161" s="51"/>
      <c r="AW161" s="51"/>
      <c r="AX161" s="51"/>
      <c r="AY161" s="51"/>
      <c r="AZ161" s="51"/>
      <c r="BA161" s="51"/>
      <c r="BB161" s="51"/>
      <c r="BC161" s="51"/>
      <c r="BD161" s="51"/>
      <c r="BE161" s="51"/>
      <c r="BF161" s="51"/>
    </row>
    <row r="162" spans="1:58" ht="18" customHeight="1" x14ac:dyDescent="0.2">
      <c r="A162" s="51"/>
      <c r="B162" s="51"/>
      <c r="C162" s="51"/>
      <c r="D162" s="51"/>
      <c r="E162" s="51"/>
      <c r="F162" s="51"/>
      <c r="G162" s="51"/>
      <c r="H162" s="51"/>
      <c r="I162" s="51"/>
      <c r="J162" s="51"/>
      <c r="K162" s="51"/>
      <c r="L162" s="51"/>
      <c r="M162" s="51"/>
      <c r="N162" s="51"/>
      <c r="O162" s="51"/>
      <c r="P162" s="51"/>
      <c r="Q162" s="51"/>
      <c r="R162" s="51"/>
      <c r="S162" s="51"/>
      <c r="T162" s="51"/>
      <c r="U162" s="51"/>
      <c r="V162" s="51"/>
      <c r="W162" s="51"/>
      <c r="X162" s="51"/>
      <c r="Y162" s="51"/>
      <c r="Z162" s="51"/>
      <c r="AA162" s="51"/>
      <c r="AB162" s="51"/>
      <c r="AC162" s="51"/>
      <c r="AD162" s="51"/>
      <c r="AE162" s="51"/>
      <c r="AF162" s="51"/>
      <c r="AG162" s="51"/>
      <c r="AH162" s="51"/>
      <c r="AI162" s="51"/>
      <c r="AJ162" s="51"/>
      <c r="AK162" s="51"/>
      <c r="AL162" s="51"/>
      <c r="AM162" s="51"/>
      <c r="AN162" s="51"/>
      <c r="AO162" s="51"/>
      <c r="AP162" s="51"/>
      <c r="AQ162" s="51"/>
      <c r="AR162" s="51"/>
      <c r="AS162" s="51"/>
      <c r="AT162" s="51"/>
      <c r="AU162" s="51"/>
      <c r="AV162" s="51"/>
      <c r="AW162" s="51"/>
      <c r="AX162" s="51"/>
      <c r="AY162" s="51"/>
      <c r="AZ162" s="51"/>
      <c r="BA162" s="51"/>
      <c r="BB162" s="51"/>
      <c r="BC162" s="51"/>
      <c r="BD162" s="51"/>
      <c r="BE162" s="51"/>
      <c r="BF162" s="51"/>
    </row>
    <row r="163" spans="1:58" ht="18" customHeight="1" x14ac:dyDescent="0.2">
      <c r="A163" s="51"/>
      <c r="B163" s="51"/>
      <c r="C163" s="51"/>
      <c r="D163" s="51"/>
      <c r="E163" s="51"/>
      <c r="F163" s="51"/>
      <c r="G163" s="51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1"/>
      <c r="S163" s="51"/>
      <c r="T163" s="51"/>
      <c r="U163" s="51"/>
      <c r="V163" s="51"/>
      <c r="W163" s="51"/>
      <c r="X163" s="51"/>
      <c r="Y163" s="51"/>
      <c r="Z163" s="51"/>
      <c r="AA163" s="51"/>
      <c r="AB163" s="51"/>
      <c r="AC163" s="51"/>
      <c r="AD163" s="51"/>
      <c r="AE163" s="51"/>
      <c r="AF163" s="51"/>
      <c r="AG163" s="51"/>
      <c r="AH163" s="51"/>
      <c r="AI163" s="51"/>
      <c r="AJ163" s="51"/>
      <c r="AK163" s="51"/>
      <c r="AL163" s="51"/>
      <c r="AM163" s="51"/>
      <c r="AN163" s="51"/>
      <c r="AO163" s="51"/>
      <c r="AP163" s="51"/>
      <c r="AQ163" s="51"/>
      <c r="AR163" s="51"/>
      <c r="AS163" s="51"/>
      <c r="AT163" s="51"/>
      <c r="AU163" s="51"/>
      <c r="AV163" s="51"/>
      <c r="AW163" s="51"/>
      <c r="AX163" s="51"/>
      <c r="AY163" s="51"/>
      <c r="AZ163" s="51"/>
      <c r="BA163" s="51"/>
      <c r="BB163" s="51"/>
      <c r="BC163" s="51"/>
      <c r="BD163" s="51"/>
      <c r="BE163" s="51"/>
      <c r="BF163" s="51"/>
    </row>
    <row r="164" spans="1:58" ht="18" customHeight="1" x14ac:dyDescent="0.2">
      <c r="A164" s="51"/>
      <c r="B164" s="51"/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  <c r="S164" s="51"/>
      <c r="T164" s="51"/>
      <c r="U164" s="51"/>
      <c r="V164" s="51"/>
      <c r="W164" s="51"/>
      <c r="X164" s="51"/>
      <c r="Y164" s="51"/>
      <c r="Z164" s="51"/>
      <c r="AA164" s="51"/>
      <c r="AB164" s="51"/>
      <c r="AC164" s="51"/>
      <c r="AD164" s="51"/>
      <c r="AE164" s="51"/>
      <c r="AF164" s="51"/>
      <c r="AG164" s="51"/>
      <c r="AH164" s="51"/>
      <c r="AI164" s="51"/>
      <c r="AJ164" s="51"/>
      <c r="AK164" s="51"/>
      <c r="AL164" s="51"/>
      <c r="AM164" s="51"/>
      <c r="AN164" s="51"/>
      <c r="AO164" s="51"/>
      <c r="AP164" s="51"/>
      <c r="AQ164" s="51"/>
      <c r="AR164" s="51"/>
      <c r="AS164" s="51"/>
      <c r="AT164" s="51"/>
      <c r="AU164" s="51"/>
      <c r="AV164" s="51"/>
      <c r="AW164" s="51"/>
      <c r="AX164" s="51"/>
      <c r="AY164" s="51"/>
      <c r="AZ164" s="51"/>
      <c r="BA164" s="51"/>
      <c r="BB164" s="51"/>
      <c r="BC164" s="51"/>
      <c r="BD164" s="51"/>
      <c r="BE164" s="51"/>
      <c r="BF164" s="51"/>
    </row>
    <row r="165" spans="1:58" ht="18" customHeight="1" x14ac:dyDescent="0.2">
      <c r="A165" s="51"/>
      <c r="B165" s="51"/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  <c r="S165" s="51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  <c r="AE165" s="51"/>
      <c r="AF165" s="51"/>
      <c r="AG165" s="51"/>
      <c r="AH165" s="51"/>
      <c r="AI165" s="51"/>
      <c r="AJ165" s="51"/>
      <c r="AK165" s="51"/>
      <c r="AL165" s="51"/>
      <c r="AM165" s="51"/>
      <c r="AN165" s="51"/>
      <c r="AO165" s="51"/>
      <c r="AP165" s="51"/>
      <c r="AQ165" s="51"/>
      <c r="AR165" s="51"/>
      <c r="AS165" s="51"/>
      <c r="AT165" s="51"/>
      <c r="AU165" s="51"/>
      <c r="AV165" s="51"/>
      <c r="AW165" s="51"/>
      <c r="AX165" s="51"/>
      <c r="AY165" s="51"/>
      <c r="AZ165" s="51"/>
      <c r="BA165" s="51"/>
      <c r="BB165" s="51"/>
      <c r="BC165" s="51"/>
      <c r="BD165" s="51"/>
      <c r="BE165" s="51"/>
      <c r="BF165" s="51"/>
    </row>
    <row r="166" spans="1:58" ht="18" customHeight="1" x14ac:dyDescent="0.2">
      <c r="A166" s="51"/>
      <c r="B166" s="51"/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  <c r="S166" s="51"/>
      <c r="T166" s="51"/>
      <c r="U166" s="51"/>
      <c r="V166" s="51"/>
      <c r="W166" s="51"/>
      <c r="X166" s="51"/>
      <c r="Y166" s="51"/>
      <c r="Z166" s="51"/>
      <c r="AA166" s="51"/>
      <c r="AB166" s="51"/>
      <c r="AC166" s="51"/>
      <c r="AD166" s="51"/>
      <c r="AE166" s="51"/>
      <c r="AF166" s="51"/>
      <c r="AG166" s="51"/>
      <c r="AH166" s="51"/>
      <c r="AI166" s="51"/>
      <c r="AJ166" s="51"/>
      <c r="AK166" s="51"/>
      <c r="AL166" s="51"/>
      <c r="AM166" s="51"/>
      <c r="AN166" s="51"/>
      <c r="AO166" s="51"/>
      <c r="AP166" s="51"/>
      <c r="AQ166" s="51"/>
      <c r="AR166" s="51"/>
      <c r="AS166" s="51"/>
      <c r="AT166" s="51"/>
      <c r="AU166" s="51"/>
      <c r="AV166" s="51"/>
      <c r="AW166" s="51"/>
      <c r="AX166" s="51"/>
      <c r="AY166" s="51"/>
      <c r="AZ166" s="51"/>
      <c r="BA166" s="51"/>
      <c r="BB166" s="51"/>
      <c r="BC166" s="51"/>
      <c r="BD166" s="51"/>
      <c r="BE166" s="51"/>
      <c r="BF166" s="51"/>
    </row>
    <row r="167" spans="1:58" ht="18" customHeight="1" x14ac:dyDescent="0.2">
      <c r="A167" s="51"/>
      <c r="B167" s="51"/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  <c r="S167" s="51"/>
      <c r="T167" s="51"/>
      <c r="U167" s="51"/>
      <c r="V167" s="51"/>
      <c r="W167" s="51"/>
      <c r="X167" s="51"/>
      <c r="Y167" s="51"/>
      <c r="Z167" s="51"/>
      <c r="AA167" s="51"/>
      <c r="AB167" s="51"/>
      <c r="AC167" s="51"/>
      <c r="AD167" s="51"/>
      <c r="AE167" s="51"/>
      <c r="AF167" s="51"/>
      <c r="AG167" s="51"/>
      <c r="AH167" s="51"/>
      <c r="AI167" s="51"/>
      <c r="AJ167" s="51"/>
      <c r="AK167" s="51"/>
      <c r="AL167" s="51"/>
      <c r="AM167" s="51"/>
      <c r="AN167" s="51"/>
      <c r="AO167" s="51"/>
      <c r="AP167" s="51"/>
      <c r="AQ167" s="51"/>
      <c r="AR167" s="51"/>
      <c r="AS167" s="51"/>
      <c r="AT167" s="51"/>
      <c r="AU167" s="51"/>
      <c r="AV167" s="51"/>
      <c r="AW167" s="51"/>
      <c r="AX167" s="51"/>
      <c r="AY167" s="51"/>
      <c r="AZ167" s="51"/>
      <c r="BA167" s="51"/>
      <c r="BB167" s="51"/>
      <c r="BC167" s="51"/>
      <c r="BD167" s="51"/>
      <c r="BE167" s="51"/>
      <c r="BF167" s="51"/>
    </row>
    <row r="168" spans="1:58" ht="18" customHeight="1" x14ac:dyDescent="0.2">
      <c r="A168" s="51"/>
      <c r="B168" s="51"/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  <c r="S168" s="51"/>
      <c r="T168" s="51"/>
      <c r="U168" s="51"/>
      <c r="V168" s="51"/>
      <c r="W168" s="51"/>
      <c r="X168" s="51"/>
      <c r="Y168" s="51"/>
      <c r="Z168" s="51"/>
      <c r="AA168" s="51"/>
      <c r="AB168" s="51"/>
      <c r="AC168" s="51"/>
      <c r="AD168" s="51"/>
      <c r="AE168" s="51"/>
      <c r="AF168" s="51"/>
      <c r="AG168" s="51"/>
      <c r="AH168" s="51"/>
      <c r="AI168" s="51"/>
      <c r="AJ168" s="51"/>
      <c r="AK168" s="51"/>
      <c r="AL168" s="51"/>
      <c r="AM168" s="51"/>
      <c r="AN168" s="51"/>
      <c r="AO168" s="51"/>
      <c r="AP168" s="51"/>
      <c r="AQ168" s="51"/>
      <c r="AR168" s="51"/>
      <c r="AS168" s="51"/>
      <c r="AT168" s="51"/>
      <c r="AU168" s="51"/>
      <c r="AV168" s="51"/>
      <c r="AW168" s="51"/>
      <c r="AX168" s="51"/>
      <c r="AY168" s="51"/>
      <c r="AZ168" s="51"/>
      <c r="BA168" s="51"/>
      <c r="BB168" s="51"/>
      <c r="BC168" s="51"/>
      <c r="BD168" s="51"/>
      <c r="BE168" s="51"/>
      <c r="BF168" s="51"/>
    </row>
    <row r="169" spans="1:58" ht="18" customHeight="1" x14ac:dyDescent="0.2">
      <c r="A169" s="51"/>
      <c r="B169" s="51"/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  <c r="S169" s="51"/>
      <c r="T169" s="51"/>
      <c r="U169" s="51"/>
      <c r="V169" s="51"/>
      <c r="W169" s="51"/>
      <c r="X169" s="51"/>
      <c r="Y169" s="51"/>
      <c r="Z169" s="51"/>
      <c r="AA169" s="51"/>
      <c r="AB169" s="51"/>
      <c r="AC169" s="51"/>
      <c r="AD169" s="51"/>
      <c r="AE169" s="51"/>
      <c r="AF169" s="51"/>
      <c r="AG169" s="51"/>
      <c r="AH169" s="51"/>
      <c r="AI169" s="51"/>
      <c r="AJ169" s="51"/>
      <c r="AK169" s="51"/>
      <c r="AL169" s="51"/>
      <c r="AM169" s="51"/>
      <c r="AN169" s="51"/>
      <c r="AO169" s="51"/>
      <c r="AP169" s="51"/>
      <c r="AQ169" s="51"/>
      <c r="AR169" s="51"/>
      <c r="AS169" s="51"/>
      <c r="AT169" s="51"/>
      <c r="AU169" s="51"/>
      <c r="AV169" s="51"/>
      <c r="AW169" s="51"/>
      <c r="AX169" s="51"/>
      <c r="AY169" s="51"/>
      <c r="AZ169" s="51"/>
      <c r="BA169" s="51"/>
      <c r="BB169" s="51"/>
      <c r="BC169" s="51"/>
      <c r="BD169" s="51"/>
      <c r="BE169" s="51"/>
      <c r="BF169" s="51"/>
    </row>
    <row r="170" spans="1:58" ht="18" customHeight="1" x14ac:dyDescent="0.2">
      <c r="A170" s="51"/>
      <c r="B170" s="51"/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  <c r="S170" s="51"/>
      <c r="T170" s="51"/>
      <c r="U170" s="51"/>
      <c r="V170" s="51"/>
      <c r="W170" s="51"/>
      <c r="X170" s="51"/>
      <c r="Y170" s="51"/>
      <c r="Z170" s="51"/>
      <c r="AA170" s="51"/>
      <c r="AB170" s="51"/>
      <c r="AC170" s="51"/>
      <c r="AD170" s="51"/>
      <c r="AE170" s="51"/>
      <c r="AF170" s="51"/>
      <c r="AG170" s="51"/>
      <c r="AH170" s="51"/>
      <c r="AI170" s="51"/>
      <c r="AJ170" s="51"/>
      <c r="AK170" s="51"/>
      <c r="AL170" s="51"/>
      <c r="AM170" s="51"/>
      <c r="AN170" s="51"/>
      <c r="AO170" s="51"/>
      <c r="AP170" s="51"/>
      <c r="AQ170" s="51"/>
      <c r="AR170" s="51"/>
      <c r="AS170" s="51"/>
      <c r="AT170" s="51"/>
      <c r="AU170" s="51"/>
      <c r="AV170" s="51"/>
      <c r="AW170" s="51"/>
      <c r="AX170" s="51"/>
      <c r="AY170" s="51"/>
      <c r="AZ170" s="51"/>
      <c r="BA170" s="51"/>
      <c r="BB170" s="51"/>
      <c r="BC170" s="51"/>
      <c r="BD170" s="51"/>
      <c r="BE170" s="51"/>
      <c r="BF170" s="51"/>
    </row>
    <row r="171" spans="1:58" ht="18" customHeight="1" x14ac:dyDescent="0.2">
      <c r="A171" s="51"/>
      <c r="B171" s="51"/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  <c r="S171" s="51"/>
      <c r="T171" s="51"/>
      <c r="U171" s="51"/>
      <c r="V171" s="51"/>
      <c r="W171" s="51"/>
      <c r="X171" s="51"/>
      <c r="Y171" s="51"/>
      <c r="Z171" s="51"/>
      <c r="AA171" s="51"/>
      <c r="AB171" s="51"/>
      <c r="AC171" s="51"/>
      <c r="AD171" s="51"/>
      <c r="AE171" s="51"/>
      <c r="AF171" s="51"/>
      <c r="AG171" s="51"/>
      <c r="AH171" s="51"/>
      <c r="AI171" s="51"/>
      <c r="AJ171" s="51"/>
      <c r="AK171" s="51"/>
      <c r="AL171" s="51"/>
      <c r="AM171" s="51"/>
      <c r="AN171" s="51"/>
      <c r="AO171" s="51"/>
      <c r="AP171" s="51"/>
      <c r="AQ171" s="51"/>
      <c r="AR171" s="51"/>
      <c r="AS171" s="51"/>
      <c r="AT171" s="51"/>
      <c r="AU171" s="51"/>
      <c r="AV171" s="51"/>
      <c r="AW171" s="51"/>
      <c r="AX171" s="51"/>
      <c r="AY171" s="51"/>
      <c r="AZ171" s="51"/>
      <c r="BA171" s="51"/>
      <c r="BB171" s="51"/>
      <c r="BC171" s="51"/>
      <c r="BD171" s="51"/>
      <c r="BE171" s="51"/>
      <c r="BF171" s="51"/>
    </row>
    <row r="172" spans="1:58" ht="18" customHeight="1" x14ac:dyDescent="0.2">
      <c r="A172" s="51"/>
      <c r="B172" s="51"/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  <c r="BC172" s="51"/>
      <c r="BD172" s="51"/>
      <c r="BE172" s="51"/>
      <c r="BF172" s="51"/>
    </row>
    <row r="173" spans="1:58" ht="18" customHeight="1" x14ac:dyDescent="0.2">
      <c r="A173" s="51"/>
      <c r="B173" s="51"/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  <c r="S173" s="51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  <c r="AE173" s="51"/>
      <c r="AF173" s="51"/>
      <c r="AG173" s="51"/>
      <c r="AH173" s="51"/>
      <c r="AI173" s="51"/>
      <c r="AJ173" s="51"/>
      <c r="AK173" s="51"/>
      <c r="AL173" s="51"/>
      <c r="AM173" s="51"/>
      <c r="AN173" s="51"/>
      <c r="AO173" s="51"/>
      <c r="AP173" s="51"/>
      <c r="AQ173" s="51"/>
      <c r="AR173" s="51"/>
      <c r="AS173" s="51"/>
      <c r="AT173" s="51"/>
      <c r="AU173" s="51"/>
      <c r="AV173" s="51"/>
      <c r="AW173" s="51"/>
      <c r="AX173" s="51"/>
      <c r="AY173" s="51"/>
      <c r="AZ173" s="51"/>
      <c r="BA173" s="51"/>
      <c r="BB173" s="51"/>
      <c r="BC173" s="51"/>
      <c r="BD173" s="51"/>
      <c r="BE173" s="51"/>
      <c r="BF173" s="51"/>
    </row>
    <row r="174" spans="1:58" ht="18" customHeight="1" x14ac:dyDescent="0.2">
      <c r="A174" s="51"/>
      <c r="B174" s="51"/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  <c r="S174" s="51"/>
      <c r="T174" s="51"/>
      <c r="U174" s="51"/>
      <c r="V174" s="51"/>
      <c r="W174" s="51"/>
      <c r="X174" s="51"/>
      <c r="Y174" s="51"/>
      <c r="Z174" s="51"/>
      <c r="AA174" s="51"/>
      <c r="AB174" s="51"/>
      <c r="AC174" s="51"/>
      <c r="AD174" s="51"/>
      <c r="AE174" s="51"/>
      <c r="AF174" s="51"/>
      <c r="AG174" s="51"/>
      <c r="AH174" s="51"/>
      <c r="AI174" s="51"/>
      <c r="AJ174" s="51"/>
      <c r="AK174" s="51"/>
      <c r="AL174" s="51"/>
      <c r="AM174" s="51"/>
      <c r="AN174" s="51"/>
      <c r="AO174" s="51"/>
      <c r="AP174" s="51"/>
      <c r="AQ174" s="51"/>
      <c r="AR174" s="51"/>
      <c r="AS174" s="51"/>
      <c r="AT174" s="51"/>
      <c r="AU174" s="51"/>
      <c r="AV174" s="51"/>
      <c r="AW174" s="51"/>
      <c r="AX174" s="51"/>
      <c r="AY174" s="51"/>
      <c r="AZ174" s="51"/>
      <c r="BA174" s="51"/>
      <c r="BB174" s="51"/>
      <c r="BC174" s="51"/>
      <c r="BD174" s="51"/>
      <c r="BE174" s="51"/>
      <c r="BF174" s="51"/>
    </row>
    <row r="175" spans="1:58" ht="18" customHeight="1" x14ac:dyDescent="0.2">
      <c r="A175" s="51"/>
      <c r="B175" s="51"/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  <c r="BC175" s="51"/>
      <c r="BD175" s="51"/>
      <c r="BE175" s="51"/>
      <c r="BF175" s="51"/>
    </row>
    <row r="176" spans="1:58" ht="18" customHeight="1" x14ac:dyDescent="0.2">
      <c r="A176" s="51"/>
      <c r="B176" s="51"/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  <c r="S176" s="51"/>
      <c r="T176" s="51"/>
      <c r="U176" s="51"/>
      <c r="V176" s="51"/>
      <c r="W176" s="51"/>
      <c r="X176" s="51"/>
      <c r="Y176" s="51"/>
      <c r="Z176" s="51"/>
      <c r="AA176" s="51"/>
      <c r="AB176" s="51"/>
      <c r="AC176" s="51"/>
      <c r="AD176" s="51"/>
      <c r="AE176" s="51"/>
      <c r="AF176" s="51"/>
      <c r="AG176" s="51"/>
      <c r="AH176" s="51"/>
      <c r="AI176" s="51"/>
      <c r="AJ176" s="51"/>
      <c r="AK176" s="51"/>
      <c r="AL176" s="51"/>
      <c r="AM176" s="51"/>
      <c r="AN176" s="51"/>
      <c r="AO176" s="51"/>
      <c r="AP176" s="51"/>
      <c r="AQ176" s="51"/>
      <c r="AR176" s="51"/>
      <c r="AS176" s="51"/>
      <c r="AT176" s="51"/>
      <c r="AU176" s="51"/>
      <c r="AV176" s="51"/>
      <c r="AW176" s="51"/>
      <c r="AX176" s="51"/>
      <c r="AY176" s="51"/>
      <c r="AZ176" s="51"/>
      <c r="BA176" s="51"/>
      <c r="BB176" s="51"/>
      <c r="BC176" s="51"/>
      <c r="BD176" s="51"/>
      <c r="BE176" s="51"/>
      <c r="BF176" s="51"/>
    </row>
    <row r="177" spans="1:58" ht="18" customHeight="1" x14ac:dyDescent="0.2">
      <c r="A177" s="51"/>
      <c r="B177" s="51"/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  <c r="S177" s="51"/>
      <c r="T177" s="51"/>
      <c r="U177" s="51"/>
      <c r="V177" s="51"/>
      <c r="W177" s="51"/>
      <c r="X177" s="51"/>
      <c r="Y177" s="51"/>
      <c r="Z177" s="51"/>
      <c r="AA177" s="51"/>
      <c r="AB177" s="51"/>
      <c r="AC177" s="51"/>
      <c r="AD177" s="51"/>
      <c r="AE177" s="51"/>
      <c r="AF177" s="51"/>
      <c r="AG177" s="51"/>
      <c r="AH177" s="51"/>
      <c r="AI177" s="51"/>
      <c r="AJ177" s="51"/>
      <c r="AK177" s="51"/>
      <c r="AL177" s="51"/>
      <c r="AM177" s="51"/>
      <c r="AN177" s="51"/>
      <c r="AO177" s="51"/>
      <c r="AP177" s="51"/>
      <c r="AQ177" s="51"/>
      <c r="AR177" s="51"/>
      <c r="AS177" s="51"/>
      <c r="AT177" s="51"/>
      <c r="AU177" s="51"/>
      <c r="AV177" s="51"/>
      <c r="AW177" s="51"/>
      <c r="AX177" s="51"/>
      <c r="AY177" s="51"/>
      <c r="AZ177" s="51"/>
      <c r="BA177" s="51"/>
      <c r="BB177" s="51"/>
      <c r="BC177" s="51"/>
      <c r="BD177" s="51"/>
      <c r="BE177" s="51"/>
      <c r="BF177" s="51"/>
    </row>
    <row r="178" spans="1:58" ht="18" customHeight="1" x14ac:dyDescent="0.2">
      <c r="A178" s="51"/>
      <c r="B178" s="51"/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  <c r="BC178" s="51"/>
      <c r="BD178" s="51"/>
      <c r="BE178" s="51"/>
      <c r="BF178" s="51"/>
    </row>
    <row r="179" spans="1:58" ht="18" customHeight="1" x14ac:dyDescent="0.2">
      <c r="A179" s="51"/>
      <c r="B179" s="51"/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  <c r="S179" s="51"/>
      <c r="T179" s="51"/>
      <c r="U179" s="51"/>
      <c r="V179" s="51"/>
      <c r="W179" s="51"/>
      <c r="X179" s="51"/>
      <c r="Y179" s="51"/>
      <c r="Z179" s="51"/>
      <c r="AA179" s="51"/>
      <c r="AB179" s="51"/>
      <c r="AC179" s="51"/>
      <c r="AD179" s="51"/>
      <c r="AE179" s="51"/>
      <c r="AF179" s="51"/>
      <c r="AG179" s="51"/>
      <c r="AH179" s="51"/>
      <c r="AI179" s="51"/>
      <c r="AJ179" s="51"/>
      <c r="AK179" s="51"/>
      <c r="AL179" s="51"/>
      <c r="AM179" s="51"/>
      <c r="AN179" s="51"/>
      <c r="AO179" s="51"/>
      <c r="AP179" s="51"/>
      <c r="AQ179" s="51"/>
      <c r="AR179" s="51"/>
      <c r="AS179" s="51"/>
      <c r="AT179" s="51"/>
      <c r="AU179" s="51"/>
      <c r="AV179" s="51"/>
      <c r="AW179" s="51"/>
      <c r="AX179" s="51"/>
      <c r="AY179" s="51"/>
      <c r="AZ179" s="51"/>
      <c r="BA179" s="51"/>
      <c r="BB179" s="51"/>
      <c r="BC179" s="51"/>
      <c r="BD179" s="51"/>
      <c r="BE179" s="51"/>
      <c r="BF179" s="51"/>
    </row>
    <row r="180" spans="1:58" ht="18" customHeight="1" x14ac:dyDescent="0.2">
      <c r="A180" s="51"/>
      <c r="B180" s="51"/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  <c r="S180" s="51"/>
      <c r="T180" s="51"/>
      <c r="U180" s="51"/>
      <c r="V180" s="51"/>
      <c r="W180" s="51"/>
      <c r="X180" s="51"/>
      <c r="Y180" s="51"/>
      <c r="Z180" s="51"/>
      <c r="AA180" s="51"/>
      <c r="AB180" s="51"/>
      <c r="AC180" s="51"/>
      <c r="AD180" s="51"/>
      <c r="AE180" s="51"/>
      <c r="AF180" s="51"/>
      <c r="AG180" s="51"/>
      <c r="AH180" s="51"/>
      <c r="AI180" s="51"/>
      <c r="AJ180" s="51"/>
      <c r="AK180" s="51"/>
      <c r="AL180" s="51"/>
      <c r="AM180" s="51"/>
      <c r="AN180" s="51"/>
      <c r="AO180" s="51"/>
      <c r="AP180" s="51"/>
      <c r="AQ180" s="51"/>
      <c r="AR180" s="51"/>
      <c r="AS180" s="51"/>
      <c r="AT180" s="51"/>
      <c r="AU180" s="51"/>
      <c r="AV180" s="51"/>
      <c r="AW180" s="51"/>
      <c r="AX180" s="51"/>
      <c r="AY180" s="51"/>
      <c r="AZ180" s="51"/>
      <c r="BA180" s="51"/>
      <c r="BB180" s="51"/>
      <c r="BC180" s="51"/>
      <c r="BD180" s="51"/>
      <c r="BE180" s="51"/>
      <c r="BF180" s="51"/>
    </row>
    <row r="181" spans="1:58" ht="18" customHeight="1" x14ac:dyDescent="0.2">
      <c r="A181" s="51"/>
      <c r="B181" s="51"/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  <c r="S181" s="51"/>
      <c r="T181" s="51"/>
      <c r="U181" s="51"/>
      <c r="V181" s="51"/>
      <c r="W181" s="51"/>
      <c r="X181" s="51"/>
      <c r="Y181" s="51"/>
      <c r="Z181" s="51"/>
      <c r="AA181" s="51"/>
      <c r="AB181" s="51"/>
      <c r="AC181" s="51"/>
      <c r="AD181" s="51"/>
      <c r="AE181" s="51"/>
      <c r="AF181" s="51"/>
      <c r="AG181" s="51"/>
      <c r="AH181" s="51"/>
      <c r="AI181" s="51"/>
      <c r="AJ181" s="51"/>
      <c r="AK181" s="51"/>
      <c r="AL181" s="51"/>
      <c r="AM181" s="51"/>
      <c r="AN181" s="51"/>
      <c r="AO181" s="51"/>
      <c r="AP181" s="51"/>
      <c r="AQ181" s="51"/>
      <c r="AR181" s="51"/>
      <c r="AS181" s="51"/>
      <c r="AT181" s="51"/>
      <c r="AU181" s="51"/>
      <c r="AV181" s="51"/>
      <c r="AW181" s="51"/>
      <c r="AX181" s="51"/>
      <c r="AY181" s="51"/>
      <c r="AZ181" s="51"/>
      <c r="BA181" s="51"/>
      <c r="BB181" s="51"/>
      <c r="BC181" s="51"/>
      <c r="BD181" s="51"/>
      <c r="BE181" s="51"/>
      <c r="BF181" s="51"/>
    </row>
    <row r="182" spans="1:58" ht="18" customHeight="1" x14ac:dyDescent="0.2">
      <c r="A182" s="51"/>
      <c r="B182" s="51"/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E182" s="51"/>
      <c r="AF182" s="51"/>
      <c r="AG182" s="51"/>
      <c r="AH182" s="51"/>
      <c r="AI182" s="51"/>
      <c r="AJ182" s="51"/>
      <c r="AK182" s="51"/>
      <c r="AL182" s="51"/>
      <c r="AM182" s="51"/>
      <c r="AN182" s="51"/>
      <c r="AO182" s="51"/>
      <c r="AP182" s="51"/>
      <c r="AQ182" s="51"/>
      <c r="AR182" s="51"/>
      <c r="AS182" s="51"/>
      <c r="AT182" s="51"/>
      <c r="AU182" s="51"/>
      <c r="AV182" s="51"/>
      <c r="AW182" s="51"/>
      <c r="AX182" s="51"/>
      <c r="AY182" s="51"/>
      <c r="AZ182" s="51"/>
      <c r="BA182" s="51"/>
      <c r="BB182" s="51"/>
      <c r="BC182" s="51"/>
      <c r="BD182" s="51"/>
      <c r="BE182" s="51"/>
      <c r="BF182" s="51"/>
    </row>
    <row r="183" spans="1:58" ht="18" customHeight="1" x14ac:dyDescent="0.2">
      <c r="A183" s="51"/>
      <c r="B183" s="51"/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  <c r="S183" s="51"/>
      <c r="T183" s="51"/>
      <c r="U183" s="51"/>
      <c r="V183" s="51"/>
      <c r="W183" s="51"/>
      <c r="X183" s="51"/>
      <c r="Y183" s="51"/>
      <c r="Z183" s="51"/>
      <c r="AA183" s="51"/>
      <c r="AB183" s="51"/>
      <c r="AC183" s="51"/>
      <c r="AD183" s="51"/>
      <c r="AE183" s="51"/>
      <c r="AF183" s="51"/>
      <c r="AG183" s="51"/>
      <c r="AH183" s="51"/>
      <c r="AI183" s="51"/>
      <c r="AJ183" s="51"/>
      <c r="AK183" s="51"/>
      <c r="AL183" s="51"/>
      <c r="AM183" s="51"/>
      <c r="AN183" s="51"/>
      <c r="AO183" s="51"/>
      <c r="AP183" s="51"/>
      <c r="AQ183" s="51"/>
      <c r="AR183" s="51"/>
      <c r="AS183" s="51"/>
      <c r="AT183" s="51"/>
      <c r="AU183" s="51"/>
      <c r="AV183" s="51"/>
      <c r="AW183" s="51"/>
      <c r="AX183" s="51"/>
      <c r="AY183" s="51"/>
      <c r="AZ183" s="51"/>
      <c r="BA183" s="51"/>
      <c r="BB183" s="51"/>
      <c r="BC183" s="51"/>
      <c r="BD183" s="51"/>
      <c r="BE183" s="51"/>
      <c r="BF183" s="51"/>
    </row>
    <row r="184" spans="1:58" ht="18" customHeight="1" x14ac:dyDescent="0.2">
      <c r="A184" s="51"/>
      <c r="B184" s="51"/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  <c r="S184" s="51"/>
      <c r="T184" s="51"/>
      <c r="U184" s="51"/>
      <c r="V184" s="51"/>
      <c r="W184" s="51"/>
      <c r="X184" s="51"/>
      <c r="Y184" s="51"/>
      <c r="Z184" s="51"/>
      <c r="AA184" s="51"/>
      <c r="AB184" s="51"/>
      <c r="AC184" s="51"/>
      <c r="AD184" s="51"/>
      <c r="AE184" s="51"/>
      <c r="AF184" s="51"/>
      <c r="AG184" s="51"/>
      <c r="AH184" s="51"/>
      <c r="AI184" s="51"/>
      <c r="AJ184" s="51"/>
      <c r="AK184" s="51"/>
      <c r="AL184" s="51"/>
      <c r="AM184" s="51"/>
      <c r="AN184" s="51"/>
      <c r="AO184" s="51"/>
      <c r="AP184" s="51"/>
      <c r="AQ184" s="51"/>
      <c r="AR184" s="51"/>
      <c r="AS184" s="51"/>
      <c r="AT184" s="51"/>
      <c r="AU184" s="51"/>
      <c r="AV184" s="51"/>
      <c r="AW184" s="51"/>
      <c r="AX184" s="51"/>
      <c r="AY184" s="51"/>
      <c r="AZ184" s="51"/>
      <c r="BA184" s="51"/>
      <c r="BB184" s="51"/>
      <c r="BC184" s="51"/>
      <c r="BD184" s="51"/>
      <c r="BE184" s="51"/>
      <c r="BF184" s="51"/>
    </row>
    <row r="185" spans="1:58" ht="18" customHeight="1" x14ac:dyDescent="0.2">
      <c r="A185" s="51"/>
      <c r="B185" s="51"/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  <c r="S185" s="51"/>
      <c r="T185" s="51"/>
      <c r="U185" s="51"/>
      <c r="V185" s="51"/>
      <c r="W185" s="51"/>
      <c r="X185" s="51"/>
      <c r="Y185" s="51"/>
      <c r="Z185" s="51"/>
      <c r="AA185" s="51"/>
      <c r="AB185" s="51"/>
      <c r="AC185" s="51"/>
      <c r="AD185" s="51"/>
      <c r="AE185" s="51"/>
      <c r="AF185" s="51"/>
      <c r="AG185" s="51"/>
      <c r="AH185" s="51"/>
      <c r="AI185" s="51"/>
      <c r="AJ185" s="51"/>
      <c r="AK185" s="51"/>
      <c r="AL185" s="51"/>
      <c r="AM185" s="51"/>
      <c r="AN185" s="51"/>
      <c r="AO185" s="51"/>
      <c r="AP185" s="51"/>
      <c r="AQ185" s="51"/>
      <c r="AR185" s="51"/>
      <c r="AS185" s="51"/>
      <c r="AT185" s="51"/>
      <c r="AU185" s="51"/>
      <c r="AV185" s="51"/>
      <c r="AW185" s="51"/>
      <c r="AX185" s="51"/>
      <c r="AY185" s="51"/>
      <c r="AZ185" s="51"/>
      <c r="BA185" s="51"/>
      <c r="BB185" s="51"/>
      <c r="BC185" s="51"/>
      <c r="BD185" s="51"/>
      <c r="BE185" s="51"/>
      <c r="BF185" s="51"/>
    </row>
    <row r="186" spans="1:58" ht="18" customHeight="1" x14ac:dyDescent="0.2">
      <c r="A186" s="51"/>
      <c r="B186" s="51"/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  <c r="S186" s="51"/>
      <c r="T186" s="51"/>
      <c r="U186" s="51"/>
      <c r="V186" s="51"/>
      <c r="W186" s="51"/>
      <c r="X186" s="51"/>
      <c r="Y186" s="51"/>
      <c r="Z186" s="51"/>
      <c r="AA186" s="51"/>
      <c r="AB186" s="51"/>
      <c r="AC186" s="51"/>
      <c r="AD186" s="51"/>
      <c r="AE186" s="51"/>
      <c r="AF186" s="51"/>
      <c r="AG186" s="51"/>
      <c r="AH186" s="51"/>
      <c r="AI186" s="51"/>
      <c r="AJ186" s="51"/>
      <c r="AK186" s="51"/>
      <c r="AL186" s="51"/>
      <c r="AM186" s="51"/>
      <c r="AN186" s="51"/>
      <c r="AO186" s="51"/>
      <c r="AP186" s="51"/>
      <c r="AQ186" s="51"/>
      <c r="AR186" s="51"/>
      <c r="AS186" s="51"/>
      <c r="AT186" s="51"/>
      <c r="AU186" s="51"/>
      <c r="AV186" s="51"/>
      <c r="AW186" s="51"/>
      <c r="AX186" s="51"/>
      <c r="AY186" s="51"/>
      <c r="AZ186" s="51"/>
      <c r="BA186" s="51"/>
      <c r="BB186" s="51"/>
      <c r="BC186" s="51"/>
      <c r="BD186" s="51"/>
      <c r="BE186" s="51"/>
      <c r="BF186" s="51"/>
    </row>
    <row r="187" spans="1:58" ht="18" customHeight="1" x14ac:dyDescent="0.2">
      <c r="A187" s="51"/>
      <c r="B187" s="51"/>
      <c r="C187" s="51"/>
      <c r="D187" s="51"/>
      <c r="E187" s="51"/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  <c r="BC187" s="51"/>
      <c r="BD187" s="51"/>
      <c r="BE187" s="51"/>
      <c r="BF187" s="51"/>
    </row>
    <row r="188" spans="1:58" ht="18" customHeight="1" x14ac:dyDescent="0.2">
      <c r="A188" s="51"/>
      <c r="B188" s="51"/>
      <c r="C188" s="51"/>
      <c r="D188" s="51"/>
      <c r="E188" s="51"/>
      <c r="F188" s="51"/>
      <c r="G188" s="51"/>
      <c r="H188" s="51"/>
      <c r="I188" s="51"/>
      <c r="J188" s="51"/>
      <c r="K188" s="51"/>
      <c r="L188" s="51"/>
      <c r="M188" s="51"/>
      <c r="N188" s="51"/>
      <c r="O188" s="51"/>
      <c r="P188" s="51"/>
      <c r="Q188" s="51"/>
      <c r="R188" s="51"/>
      <c r="S188" s="51"/>
      <c r="T188" s="51"/>
      <c r="U188" s="51"/>
      <c r="V188" s="51"/>
      <c r="W188" s="51"/>
      <c r="X188" s="51"/>
      <c r="Y188" s="51"/>
      <c r="Z188" s="51"/>
      <c r="AA188" s="51"/>
      <c r="AB188" s="51"/>
      <c r="AC188" s="51"/>
      <c r="AD188" s="51"/>
      <c r="AE188" s="51"/>
      <c r="AF188" s="51"/>
      <c r="AG188" s="51"/>
      <c r="AH188" s="51"/>
      <c r="AI188" s="51"/>
      <c r="AJ188" s="51"/>
      <c r="AK188" s="51"/>
      <c r="AL188" s="51"/>
      <c r="AM188" s="51"/>
      <c r="AN188" s="51"/>
      <c r="AO188" s="51"/>
      <c r="AP188" s="51"/>
      <c r="AQ188" s="51"/>
      <c r="AR188" s="51"/>
      <c r="AS188" s="51"/>
      <c r="AT188" s="51"/>
      <c r="AU188" s="51"/>
      <c r="AV188" s="51"/>
      <c r="AW188" s="51"/>
      <c r="AX188" s="51"/>
      <c r="AY188" s="51"/>
      <c r="AZ188" s="51"/>
      <c r="BA188" s="51"/>
      <c r="BB188" s="51"/>
      <c r="BC188" s="51"/>
      <c r="BD188" s="51"/>
      <c r="BE188" s="51"/>
      <c r="BF188" s="51"/>
    </row>
    <row r="189" spans="1:58" ht="18" customHeight="1" x14ac:dyDescent="0.2">
      <c r="A189" s="51"/>
      <c r="B189" s="51"/>
      <c r="C189" s="51"/>
      <c r="D189" s="51"/>
      <c r="E189" s="51"/>
      <c r="F189" s="51"/>
      <c r="G189" s="51"/>
      <c r="H189" s="51"/>
      <c r="I189" s="51"/>
      <c r="J189" s="51"/>
      <c r="K189" s="51"/>
      <c r="L189" s="51"/>
      <c r="M189" s="51"/>
      <c r="N189" s="51"/>
      <c r="O189" s="51"/>
      <c r="P189" s="51"/>
      <c r="Q189" s="51"/>
      <c r="R189" s="51"/>
      <c r="S189" s="51"/>
      <c r="T189" s="51"/>
      <c r="U189" s="51"/>
      <c r="V189" s="51"/>
      <c r="W189" s="51"/>
      <c r="X189" s="51"/>
      <c r="Y189" s="51"/>
      <c r="Z189" s="51"/>
      <c r="AA189" s="51"/>
      <c r="AB189" s="51"/>
      <c r="AC189" s="51"/>
      <c r="AD189" s="51"/>
      <c r="AE189" s="51"/>
      <c r="AF189" s="51"/>
      <c r="AG189" s="51"/>
      <c r="AH189" s="51"/>
      <c r="AI189" s="51"/>
      <c r="AJ189" s="51"/>
      <c r="AK189" s="51"/>
      <c r="AL189" s="51"/>
      <c r="AM189" s="51"/>
      <c r="AN189" s="51"/>
      <c r="AO189" s="51"/>
      <c r="AP189" s="51"/>
      <c r="AQ189" s="51"/>
      <c r="AR189" s="51"/>
      <c r="AS189" s="51"/>
      <c r="AT189" s="51"/>
      <c r="AU189" s="51"/>
      <c r="AV189" s="51"/>
      <c r="AW189" s="51"/>
      <c r="AX189" s="51"/>
      <c r="AY189" s="51"/>
      <c r="AZ189" s="51"/>
      <c r="BA189" s="51"/>
      <c r="BB189" s="51"/>
      <c r="BC189" s="51"/>
      <c r="BD189" s="51"/>
      <c r="BE189" s="51"/>
      <c r="BF189" s="51"/>
    </row>
    <row r="190" spans="1:58" ht="18" customHeight="1" x14ac:dyDescent="0.2">
      <c r="A190" s="51"/>
      <c r="B190" s="51"/>
      <c r="C190" s="51"/>
      <c r="D190" s="51"/>
      <c r="E190" s="51"/>
      <c r="F190" s="51"/>
      <c r="G190" s="51"/>
      <c r="H190" s="51"/>
      <c r="I190" s="51"/>
      <c r="J190" s="51"/>
      <c r="K190" s="51"/>
      <c r="L190" s="51"/>
      <c r="M190" s="51"/>
      <c r="N190" s="51"/>
      <c r="O190" s="51"/>
      <c r="P190" s="51"/>
      <c r="Q190" s="51"/>
      <c r="R190" s="51"/>
      <c r="S190" s="51"/>
      <c r="T190" s="51"/>
      <c r="U190" s="51"/>
      <c r="V190" s="51"/>
      <c r="W190" s="51"/>
      <c r="X190" s="51"/>
      <c r="Y190" s="51"/>
      <c r="Z190" s="51"/>
      <c r="AA190" s="51"/>
      <c r="AB190" s="51"/>
      <c r="AC190" s="51"/>
      <c r="AD190" s="51"/>
      <c r="AE190" s="51"/>
      <c r="AF190" s="51"/>
      <c r="AG190" s="51"/>
      <c r="AH190" s="51"/>
      <c r="AI190" s="51"/>
      <c r="AJ190" s="51"/>
      <c r="AK190" s="51"/>
      <c r="AL190" s="51"/>
      <c r="AM190" s="51"/>
      <c r="AN190" s="51"/>
      <c r="AO190" s="51"/>
      <c r="AP190" s="51"/>
      <c r="AQ190" s="51"/>
      <c r="AR190" s="51"/>
      <c r="AS190" s="51"/>
      <c r="AT190" s="51"/>
      <c r="AU190" s="51"/>
      <c r="AV190" s="51"/>
      <c r="AW190" s="51"/>
      <c r="AX190" s="51"/>
      <c r="AY190" s="51"/>
      <c r="AZ190" s="51"/>
      <c r="BA190" s="51"/>
      <c r="BB190" s="51"/>
      <c r="BC190" s="51"/>
      <c r="BD190" s="51"/>
      <c r="BE190" s="51"/>
      <c r="BF190" s="51"/>
    </row>
    <row r="191" spans="1:58" ht="18" customHeight="1" x14ac:dyDescent="0.2">
      <c r="A191" s="51"/>
      <c r="B191" s="51"/>
      <c r="C191" s="51"/>
      <c r="D191" s="51"/>
      <c r="E191" s="51"/>
      <c r="F191" s="51"/>
      <c r="G191" s="51"/>
      <c r="H191" s="51"/>
      <c r="I191" s="51"/>
      <c r="J191" s="51"/>
      <c r="K191" s="51"/>
      <c r="L191" s="51"/>
      <c r="M191" s="51"/>
      <c r="N191" s="51"/>
      <c r="O191" s="51"/>
      <c r="P191" s="51"/>
      <c r="Q191" s="51"/>
      <c r="R191" s="51"/>
      <c r="S191" s="51"/>
      <c r="T191" s="51"/>
      <c r="U191" s="51"/>
      <c r="V191" s="51"/>
      <c r="W191" s="51"/>
      <c r="X191" s="51"/>
      <c r="Y191" s="51"/>
      <c r="Z191" s="51"/>
      <c r="AA191" s="51"/>
      <c r="AB191" s="51"/>
      <c r="AC191" s="51"/>
      <c r="AD191" s="51"/>
      <c r="AE191" s="51"/>
      <c r="AF191" s="51"/>
      <c r="AG191" s="51"/>
      <c r="AH191" s="51"/>
      <c r="AI191" s="51"/>
      <c r="AJ191" s="51"/>
      <c r="AK191" s="51"/>
      <c r="AL191" s="51"/>
      <c r="AM191" s="51"/>
      <c r="AN191" s="51"/>
      <c r="AO191" s="51"/>
      <c r="AP191" s="51"/>
      <c r="AQ191" s="51"/>
      <c r="AR191" s="51"/>
      <c r="AS191" s="51"/>
      <c r="AT191" s="51"/>
      <c r="AU191" s="51"/>
      <c r="AV191" s="51"/>
      <c r="AW191" s="51"/>
      <c r="AX191" s="51"/>
      <c r="AY191" s="51"/>
      <c r="AZ191" s="51"/>
      <c r="BA191" s="51"/>
      <c r="BB191" s="51"/>
      <c r="BC191" s="51"/>
      <c r="BD191" s="51"/>
      <c r="BE191" s="51"/>
      <c r="BF191" s="51"/>
    </row>
    <row r="192" spans="1:58" ht="18" customHeight="1" x14ac:dyDescent="0.2">
      <c r="A192" s="51"/>
      <c r="B192" s="51"/>
      <c r="C192" s="51"/>
      <c r="D192" s="51"/>
      <c r="E192" s="51"/>
      <c r="F192" s="51"/>
      <c r="G192" s="51"/>
      <c r="H192" s="51"/>
      <c r="I192" s="51"/>
      <c r="J192" s="51"/>
      <c r="K192" s="51"/>
      <c r="L192" s="51"/>
      <c r="M192" s="51"/>
      <c r="N192" s="51"/>
      <c r="O192" s="51"/>
      <c r="P192" s="51"/>
      <c r="Q192" s="51"/>
      <c r="R192" s="51"/>
      <c r="S192" s="51"/>
      <c r="T192" s="51"/>
      <c r="U192" s="51"/>
      <c r="V192" s="51"/>
      <c r="W192" s="51"/>
      <c r="X192" s="51"/>
      <c r="Y192" s="51"/>
      <c r="Z192" s="51"/>
      <c r="AA192" s="51"/>
      <c r="AB192" s="51"/>
      <c r="AC192" s="51"/>
      <c r="AD192" s="51"/>
      <c r="AE192" s="51"/>
      <c r="AF192" s="51"/>
      <c r="AG192" s="51"/>
      <c r="AH192" s="51"/>
      <c r="AI192" s="51"/>
      <c r="AJ192" s="51"/>
      <c r="AK192" s="51"/>
      <c r="AL192" s="51"/>
      <c r="AM192" s="51"/>
      <c r="AN192" s="51"/>
      <c r="AO192" s="51"/>
      <c r="AP192" s="51"/>
      <c r="AQ192" s="51"/>
      <c r="AR192" s="51"/>
      <c r="AS192" s="51"/>
      <c r="AT192" s="51"/>
      <c r="AU192" s="51"/>
      <c r="AV192" s="51"/>
      <c r="AW192" s="51"/>
      <c r="AX192" s="51"/>
      <c r="AY192" s="51"/>
      <c r="AZ192" s="51"/>
      <c r="BA192" s="51"/>
      <c r="BB192" s="51"/>
      <c r="BC192" s="51"/>
      <c r="BD192" s="51"/>
      <c r="BE192" s="51"/>
      <c r="BF192" s="51"/>
    </row>
    <row r="193" spans="1:58" ht="18" customHeight="1" x14ac:dyDescent="0.2">
      <c r="A193" s="51"/>
      <c r="B193" s="51"/>
      <c r="C193" s="51"/>
      <c r="D193" s="51"/>
      <c r="E193" s="51"/>
      <c r="F193" s="51"/>
      <c r="G193" s="51"/>
      <c r="H193" s="51"/>
      <c r="I193" s="51"/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  <c r="BC193" s="51"/>
      <c r="BD193" s="51"/>
      <c r="BE193" s="51"/>
      <c r="BF193" s="51"/>
    </row>
    <row r="194" spans="1:58" ht="18" customHeight="1" x14ac:dyDescent="0.2">
      <c r="A194" s="51"/>
      <c r="B194" s="51"/>
      <c r="C194" s="51"/>
      <c r="D194" s="51"/>
      <c r="E194" s="51"/>
      <c r="F194" s="51"/>
      <c r="G194" s="51"/>
      <c r="H194" s="51"/>
      <c r="I194" s="51"/>
      <c r="J194" s="51"/>
      <c r="K194" s="51"/>
      <c r="L194" s="51"/>
      <c r="M194" s="51"/>
      <c r="N194" s="51"/>
      <c r="O194" s="51"/>
      <c r="P194" s="51"/>
      <c r="Q194" s="51"/>
      <c r="R194" s="51"/>
      <c r="S194" s="51"/>
      <c r="T194" s="51"/>
      <c r="U194" s="51"/>
      <c r="V194" s="51"/>
      <c r="W194" s="51"/>
      <c r="X194" s="51"/>
      <c r="Y194" s="51"/>
      <c r="Z194" s="51"/>
      <c r="AA194" s="51"/>
      <c r="AB194" s="51"/>
      <c r="AC194" s="51"/>
      <c r="AD194" s="51"/>
      <c r="AE194" s="51"/>
      <c r="AF194" s="51"/>
      <c r="AG194" s="51"/>
      <c r="AH194" s="51"/>
      <c r="AI194" s="51"/>
      <c r="AJ194" s="51"/>
      <c r="AK194" s="51"/>
      <c r="AL194" s="51"/>
      <c r="AM194" s="51"/>
      <c r="AN194" s="51"/>
      <c r="AO194" s="51"/>
      <c r="AP194" s="51"/>
      <c r="AQ194" s="51"/>
      <c r="AR194" s="51"/>
      <c r="AS194" s="51"/>
      <c r="AT194" s="51"/>
      <c r="AU194" s="51"/>
      <c r="AV194" s="51"/>
      <c r="AW194" s="51"/>
      <c r="AX194" s="51"/>
      <c r="AY194" s="51"/>
      <c r="AZ194" s="51"/>
      <c r="BA194" s="51"/>
      <c r="BB194" s="51"/>
      <c r="BC194" s="51"/>
      <c r="BD194" s="51"/>
      <c r="BE194" s="51"/>
      <c r="BF194" s="51"/>
    </row>
    <row r="195" spans="1:58" ht="18" customHeight="1" x14ac:dyDescent="0.2">
      <c r="A195" s="51"/>
      <c r="B195" s="51"/>
      <c r="C195" s="51"/>
      <c r="D195" s="51"/>
      <c r="E195" s="51"/>
      <c r="F195" s="51"/>
      <c r="G195" s="51"/>
      <c r="H195" s="51"/>
      <c r="I195" s="51"/>
      <c r="J195" s="51"/>
      <c r="K195" s="51"/>
      <c r="L195" s="51"/>
      <c r="M195" s="51"/>
      <c r="N195" s="51"/>
      <c r="O195" s="51"/>
      <c r="P195" s="51"/>
      <c r="Q195" s="51"/>
      <c r="R195" s="51"/>
      <c r="S195" s="51"/>
      <c r="T195" s="51"/>
      <c r="U195" s="51"/>
      <c r="V195" s="51"/>
      <c r="W195" s="51"/>
      <c r="X195" s="51"/>
      <c r="Y195" s="51"/>
      <c r="Z195" s="51"/>
      <c r="AA195" s="51"/>
      <c r="AB195" s="51"/>
      <c r="AC195" s="51"/>
      <c r="AD195" s="51"/>
      <c r="AE195" s="51"/>
      <c r="AF195" s="51"/>
      <c r="AG195" s="51"/>
      <c r="AH195" s="51"/>
      <c r="AI195" s="51"/>
      <c r="AJ195" s="51"/>
      <c r="AK195" s="51"/>
      <c r="AL195" s="51"/>
      <c r="AM195" s="51"/>
      <c r="AN195" s="51"/>
      <c r="AO195" s="51"/>
      <c r="AP195" s="51"/>
      <c r="AQ195" s="51"/>
      <c r="AR195" s="51"/>
      <c r="AS195" s="51"/>
      <c r="AT195" s="51"/>
      <c r="AU195" s="51"/>
      <c r="AV195" s="51"/>
      <c r="AW195" s="51"/>
      <c r="AX195" s="51"/>
      <c r="AY195" s="51"/>
      <c r="AZ195" s="51"/>
      <c r="BA195" s="51"/>
      <c r="BB195" s="51"/>
      <c r="BC195" s="51"/>
      <c r="BD195" s="51"/>
      <c r="BE195" s="51"/>
      <c r="BF195" s="51"/>
    </row>
    <row r="196" spans="1:58" ht="18" customHeight="1" x14ac:dyDescent="0.2">
      <c r="A196" s="51"/>
      <c r="B196" s="51"/>
      <c r="C196" s="51"/>
      <c r="D196" s="51"/>
      <c r="E196" s="51"/>
      <c r="F196" s="51"/>
      <c r="G196" s="51"/>
      <c r="H196" s="51"/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  <c r="BC196" s="51"/>
      <c r="BD196" s="51"/>
      <c r="BE196" s="51"/>
      <c r="BF196" s="51"/>
    </row>
    <row r="197" spans="1:58" ht="18" customHeight="1" x14ac:dyDescent="0.2">
      <c r="A197" s="51"/>
      <c r="B197" s="51"/>
      <c r="C197" s="51"/>
      <c r="D197" s="51"/>
      <c r="E197" s="51"/>
      <c r="F197" s="51"/>
      <c r="G197" s="51"/>
      <c r="H197" s="51"/>
      <c r="I197" s="51"/>
      <c r="J197" s="51"/>
      <c r="K197" s="51"/>
      <c r="L197" s="51"/>
      <c r="M197" s="51"/>
      <c r="N197" s="51"/>
      <c r="O197" s="51"/>
      <c r="P197" s="51"/>
      <c r="Q197" s="51"/>
      <c r="R197" s="51"/>
      <c r="S197" s="51"/>
      <c r="T197" s="51"/>
      <c r="U197" s="51"/>
      <c r="V197" s="51"/>
      <c r="W197" s="51"/>
      <c r="X197" s="51"/>
      <c r="Y197" s="51"/>
      <c r="Z197" s="51"/>
      <c r="AA197" s="51"/>
      <c r="AB197" s="51"/>
      <c r="AC197" s="51"/>
      <c r="AD197" s="51"/>
      <c r="AE197" s="51"/>
      <c r="AF197" s="51"/>
      <c r="AG197" s="51"/>
      <c r="AH197" s="51"/>
      <c r="AI197" s="51"/>
      <c r="AJ197" s="51"/>
      <c r="AK197" s="51"/>
      <c r="AL197" s="51"/>
      <c r="AM197" s="51"/>
      <c r="AN197" s="51"/>
      <c r="AO197" s="51"/>
      <c r="AP197" s="51"/>
      <c r="AQ197" s="51"/>
      <c r="AR197" s="51"/>
      <c r="AS197" s="51"/>
      <c r="AT197" s="51"/>
      <c r="AU197" s="51"/>
      <c r="AV197" s="51"/>
      <c r="AW197" s="51"/>
      <c r="AX197" s="51"/>
      <c r="AY197" s="51"/>
      <c r="AZ197" s="51"/>
      <c r="BA197" s="51"/>
      <c r="BB197" s="51"/>
      <c r="BC197" s="51"/>
      <c r="BD197" s="51"/>
      <c r="BE197" s="51"/>
      <c r="BF197" s="51"/>
    </row>
    <row r="198" spans="1:58" ht="18" customHeight="1" x14ac:dyDescent="0.2">
      <c r="A198" s="51"/>
      <c r="B198" s="51"/>
      <c r="C198" s="51"/>
      <c r="D198" s="51"/>
      <c r="E198" s="51"/>
      <c r="F198" s="51"/>
      <c r="G198" s="51"/>
      <c r="H198" s="51"/>
      <c r="I198" s="51"/>
      <c r="J198" s="51"/>
      <c r="K198" s="51"/>
      <c r="L198" s="51"/>
      <c r="M198" s="51"/>
      <c r="N198" s="51"/>
      <c r="O198" s="51"/>
      <c r="P198" s="51"/>
      <c r="Q198" s="51"/>
      <c r="R198" s="51"/>
      <c r="S198" s="51"/>
      <c r="T198" s="51"/>
      <c r="U198" s="51"/>
      <c r="V198" s="51"/>
      <c r="W198" s="51"/>
      <c r="X198" s="51"/>
      <c r="Y198" s="51"/>
      <c r="Z198" s="51"/>
      <c r="AA198" s="51"/>
      <c r="AB198" s="51"/>
      <c r="AC198" s="51"/>
      <c r="AD198" s="51"/>
      <c r="AE198" s="51"/>
      <c r="AF198" s="51"/>
      <c r="AG198" s="51"/>
      <c r="AH198" s="51"/>
      <c r="AI198" s="51"/>
      <c r="AJ198" s="51"/>
      <c r="AK198" s="51"/>
      <c r="AL198" s="51"/>
      <c r="AM198" s="51"/>
      <c r="AN198" s="51"/>
      <c r="AO198" s="51"/>
      <c r="AP198" s="51"/>
      <c r="AQ198" s="51"/>
      <c r="AR198" s="51"/>
      <c r="AS198" s="51"/>
      <c r="AT198" s="51"/>
      <c r="AU198" s="51"/>
      <c r="AV198" s="51"/>
      <c r="AW198" s="51"/>
      <c r="AX198" s="51"/>
      <c r="AY198" s="51"/>
      <c r="AZ198" s="51"/>
      <c r="BA198" s="51"/>
      <c r="BB198" s="51"/>
      <c r="BC198" s="51"/>
      <c r="BD198" s="51"/>
      <c r="BE198" s="51"/>
      <c r="BF198" s="51"/>
    </row>
    <row r="199" spans="1:58" ht="18" customHeight="1" x14ac:dyDescent="0.2">
      <c r="A199" s="51"/>
      <c r="B199" s="51"/>
      <c r="C199" s="51"/>
      <c r="D199" s="51"/>
      <c r="E199" s="51"/>
      <c r="F199" s="51"/>
      <c r="G199" s="51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  <c r="BC199" s="51"/>
      <c r="BD199" s="51"/>
      <c r="BE199" s="51"/>
      <c r="BF199" s="51"/>
    </row>
    <row r="200" spans="1:58" ht="18" customHeight="1" x14ac:dyDescent="0.2">
      <c r="A200" s="51"/>
      <c r="B200" s="51"/>
      <c r="C200" s="51"/>
      <c r="D200" s="51"/>
      <c r="E200" s="51"/>
      <c r="F200" s="51"/>
      <c r="G200" s="51"/>
      <c r="H200" s="51"/>
      <c r="I200" s="51"/>
      <c r="J200" s="51"/>
      <c r="K200" s="51"/>
      <c r="L200" s="51"/>
      <c r="M200" s="51"/>
      <c r="N200" s="51"/>
      <c r="O200" s="51"/>
      <c r="P200" s="51"/>
      <c r="Q200" s="51"/>
      <c r="R200" s="51"/>
      <c r="S200" s="51"/>
      <c r="T200" s="51"/>
      <c r="U200" s="51"/>
      <c r="V200" s="51"/>
      <c r="W200" s="51"/>
      <c r="X200" s="51"/>
      <c r="Y200" s="51"/>
      <c r="Z200" s="51"/>
      <c r="AA200" s="51"/>
      <c r="AB200" s="51"/>
      <c r="AC200" s="51"/>
      <c r="AD200" s="51"/>
      <c r="AE200" s="51"/>
      <c r="AF200" s="51"/>
      <c r="AG200" s="51"/>
      <c r="AH200" s="51"/>
      <c r="AI200" s="51"/>
      <c r="AJ200" s="51"/>
      <c r="AK200" s="51"/>
      <c r="AL200" s="51"/>
      <c r="AM200" s="51"/>
      <c r="AN200" s="51"/>
      <c r="AO200" s="51"/>
      <c r="AP200" s="51"/>
      <c r="AQ200" s="51"/>
      <c r="AR200" s="51"/>
      <c r="AS200" s="51"/>
      <c r="AT200" s="51"/>
      <c r="AU200" s="51"/>
      <c r="AV200" s="51"/>
      <c r="AW200" s="51"/>
      <c r="AX200" s="51"/>
      <c r="AY200" s="51"/>
      <c r="AZ200" s="51"/>
      <c r="BA200" s="51"/>
      <c r="BB200" s="51"/>
      <c r="BC200" s="51"/>
      <c r="BD200" s="51"/>
      <c r="BE200" s="51"/>
      <c r="BF200" s="51"/>
    </row>
    <row r="201" spans="1:58" ht="18" customHeight="1" x14ac:dyDescent="0.2">
      <c r="A201" s="51"/>
      <c r="B201" s="51"/>
      <c r="C201" s="51"/>
      <c r="D201" s="51"/>
      <c r="E201" s="51"/>
      <c r="F201" s="51"/>
      <c r="G201" s="51"/>
      <c r="H201" s="51"/>
      <c r="I201" s="51"/>
      <c r="J201" s="51"/>
      <c r="K201" s="51"/>
      <c r="L201" s="51"/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/>
      <c r="AC201" s="51"/>
      <c r="AD201" s="51"/>
      <c r="AE201" s="51"/>
      <c r="AF201" s="51"/>
      <c r="AG201" s="51"/>
      <c r="AH201" s="51"/>
      <c r="AI201" s="51"/>
      <c r="AJ201" s="51"/>
      <c r="AK201" s="51"/>
      <c r="AL201" s="51"/>
      <c r="AM201" s="51"/>
      <c r="AN201" s="51"/>
      <c r="AO201" s="51"/>
      <c r="AP201" s="51"/>
      <c r="AQ201" s="51"/>
      <c r="AR201" s="51"/>
      <c r="AS201" s="51"/>
      <c r="AT201" s="51"/>
      <c r="AU201" s="51"/>
      <c r="AV201" s="51"/>
      <c r="AW201" s="51"/>
      <c r="AX201" s="51"/>
      <c r="AY201" s="51"/>
      <c r="AZ201" s="51"/>
      <c r="BA201" s="51"/>
      <c r="BB201" s="51"/>
      <c r="BC201" s="51"/>
      <c r="BD201" s="51"/>
      <c r="BE201" s="51"/>
      <c r="BF201" s="51"/>
    </row>
    <row r="202" spans="1:58" ht="18" customHeight="1" x14ac:dyDescent="0.2">
      <c r="A202" s="51"/>
      <c r="B202" s="51"/>
      <c r="C202" s="51"/>
      <c r="D202" s="51"/>
      <c r="E202" s="51"/>
      <c r="F202" s="51"/>
      <c r="G202" s="51"/>
      <c r="H202" s="51"/>
      <c r="I202" s="51"/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  <c r="BC202" s="51"/>
      <c r="BD202" s="51"/>
      <c r="BE202" s="51"/>
      <c r="BF202" s="51"/>
    </row>
    <row r="203" spans="1:58" ht="18" customHeight="1" x14ac:dyDescent="0.2">
      <c r="A203" s="51"/>
      <c r="B203" s="51"/>
      <c r="C203" s="51"/>
      <c r="D203" s="51"/>
      <c r="E203" s="51"/>
      <c r="F203" s="51"/>
      <c r="G203" s="51"/>
      <c r="H203" s="51"/>
      <c r="I203" s="51"/>
      <c r="J203" s="51"/>
      <c r="K203" s="51"/>
      <c r="L203" s="51"/>
      <c r="M203" s="51"/>
      <c r="N203" s="51"/>
      <c r="O203" s="51"/>
      <c r="P203" s="51"/>
      <c r="Q203" s="51"/>
      <c r="R203" s="51"/>
      <c r="S203" s="51"/>
      <c r="T203" s="51"/>
      <c r="U203" s="51"/>
      <c r="V203" s="51"/>
      <c r="W203" s="51"/>
      <c r="X203" s="51"/>
      <c r="Y203" s="51"/>
      <c r="Z203" s="51"/>
      <c r="AA203" s="51"/>
      <c r="AB203" s="51"/>
      <c r="AC203" s="51"/>
      <c r="AD203" s="51"/>
      <c r="AE203" s="51"/>
      <c r="AF203" s="51"/>
      <c r="AG203" s="51"/>
      <c r="AH203" s="51"/>
      <c r="AI203" s="51"/>
      <c r="AJ203" s="51"/>
      <c r="AK203" s="51"/>
      <c r="AL203" s="51"/>
      <c r="AM203" s="51"/>
      <c r="AN203" s="51"/>
      <c r="AO203" s="51"/>
      <c r="AP203" s="51"/>
      <c r="AQ203" s="51"/>
      <c r="AR203" s="51"/>
      <c r="AS203" s="51"/>
      <c r="AT203" s="51"/>
      <c r="AU203" s="51"/>
      <c r="AV203" s="51"/>
      <c r="AW203" s="51"/>
      <c r="AX203" s="51"/>
      <c r="AY203" s="51"/>
      <c r="AZ203" s="51"/>
      <c r="BA203" s="51"/>
      <c r="BB203" s="51"/>
      <c r="BC203" s="51"/>
      <c r="BD203" s="51"/>
      <c r="BE203" s="51"/>
      <c r="BF203" s="51"/>
    </row>
    <row r="204" spans="1:58" ht="18" customHeight="1" x14ac:dyDescent="0.2">
      <c r="A204" s="51"/>
      <c r="B204" s="51"/>
      <c r="C204" s="51"/>
      <c r="D204" s="51"/>
      <c r="E204" s="51"/>
      <c r="F204" s="51"/>
      <c r="G204" s="51"/>
      <c r="H204" s="51"/>
      <c r="I204" s="51"/>
      <c r="J204" s="51"/>
      <c r="K204" s="51"/>
      <c r="L204" s="51"/>
      <c r="M204" s="51"/>
      <c r="N204" s="51"/>
      <c r="O204" s="51"/>
      <c r="P204" s="51"/>
      <c r="Q204" s="51"/>
      <c r="R204" s="51"/>
      <c r="S204" s="51"/>
      <c r="T204" s="51"/>
      <c r="U204" s="51"/>
      <c r="V204" s="51"/>
      <c r="W204" s="51"/>
      <c r="X204" s="51"/>
      <c r="Y204" s="51"/>
      <c r="Z204" s="51"/>
      <c r="AA204" s="51"/>
      <c r="AB204" s="51"/>
      <c r="AC204" s="51"/>
      <c r="AD204" s="51"/>
      <c r="AE204" s="51"/>
      <c r="AF204" s="51"/>
      <c r="AG204" s="51"/>
      <c r="AH204" s="51"/>
      <c r="AI204" s="51"/>
      <c r="AJ204" s="51"/>
      <c r="AK204" s="51"/>
      <c r="AL204" s="51"/>
      <c r="AM204" s="51"/>
      <c r="AN204" s="51"/>
      <c r="AO204" s="51"/>
      <c r="AP204" s="51"/>
      <c r="AQ204" s="51"/>
      <c r="AR204" s="51"/>
      <c r="AS204" s="51"/>
      <c r="AT204" s="51"/>
      <c r="AU204" s="51"/>
      <c r="AV204" s="51"/>
      <c r="AW204" s="51"/>
      <c r="AX204" s="51"/>
      <c r="AY204" s="51"/>
      <c r="AZ204" s="51"/>
      <c r="BA204" s="51"/>
      <c r="BB204" s="51"/>
      <c r="BC204" s="51"/>
      <c r="BD204" s="51"/>
      <c r="BE204" s="51"/>
      <c r="BF204" s="51"/>
    </row>
    <row r="205" spans="1:58" ht="18" customHeight="1" x14ac:dyDescent="0.2">
      <c r="A205" s="51"/>
      <c r="B205" s="51"/>
      <c r="C205" s="51"/>
      <c r="D205" s="51"/>
      <c r="E205" s="51"/>
      <c r="F205" s="51"/>
      <c r="G205" s="51"/>
      <c r="H205" s="51"/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  <c r="BC205" s="51"/>
      <c r="BD205" s="51"/>
      <c r="BE205" s="51"/>
      <c r="BF205" s="51"/>
    </row>
    <row r="206" spans="1:58" ht="18" customHeight="1" x14ac:dyDescent="0.2">
      <c r="A206" s="51"/>
      <c r="B206" s="51"/>
      <c r="C206" s="51"/>
      <c r="D206" s="51"/>
      <c r="E206" s="51"/>
      <c r="F206" s="51"/>
      <c r="G206" s="51"/>
      <c r="H206" s="51"/>
      <c r="I206" s="51"/>
      <c r="J206" s="51"/>
      <c r="K206" s="51"/>
      <c r="L206" s="51"/>
      <c r="M206" s="51"/>
      <c r="N206" s="51"/>
      <c r="O206" s="51"/>
      <c r="P206" s="51"/>
      <c r="Q206" s="51"/>
      <c r="R206" s="51"/>
      <c r="S206" s="51"/>
      <c r="T206" s="51"/>
      <c r="U206" s="51"/>
      <c r="V206" s="51"/>
      <c r="W206" s="51"/>
      <c r="X206" s="51"/>
      <c r="Y206" s="51"/>
      <c r="Z206" s="51"/>
      <c r="AA206" s="51"/>
      <c r="AB206" s="51"/>
      <c r="AC206" s="51"/>
      <c r="AD206" s="51"/>
      <c r="AE206" s="51"/>
      <c r="AF206" s="51"/>
      <c r="AG206" s="51"/>
      <c r="AH206" s="51"/>
      <c r="AI206" s="51"/>
      <c r="AJ206" s="51"/>
      <c r="AK206" s="51"/>
      <c r="AL206" s="51"/>
      <c r="AM206" s="51"/>
      <c r="AN206" s="51"/>
      <c r="AO206" s="51"/>
      <c r="AP206" s="51"/>
      <c r="AQ206" s="51"/>
      <c r="AR206" s="51"/>
      <c r="AS206" s="51"/>
      <c r="AT206" s="51"/>
      <c r="AU206" s="51"/>
      <c r="AV206" s="51"/>
      <c r="AW206" s="51"/>
      <c r="AX206" s="51"/>
      <c r="AY206" s="51"/>
      <c r="AZ206" s="51"/>
      <c r="BA206" s="51"/>
      <c r="BB206" s="51"/>
      <c r="BC206" s="51"/>
      <c r="BD206" s="51"/>
      <c r="BE206" s="51"/>
      <c r="BF206" s="51"/>
    </row>
    <row r="207" spans="1:58" ht="18" customHeight="1" x14ac:dyDescent="0.2">
      <c r="A207" s="51"/>
      <c r="B207" s="51"/>
      <c r="C207" s="51"/>
      <c r="D207" s="51"/>
      <c r="E207" s="51"/>
      <c r="F207" s="51"/>
      <c r="G207" s="51"/>
      <c r="H207" s="51"/>
      <c r="I207" s="51"/>
      <c r="J207" s="51"/>
      <c r="K207" s="51"/>
      <c r="L207" s="51"/>
      <c r="M207" s="51"/>
      <c r="N207" s="51"/>
      <c r="O207" s="51"/>
      <c r="P207" s="51"/>
      <c r="Q207" s="51"/>
      <c r="R207" s="51"/>
      <c r="S207" s="51"/>
      <c r="T207" s="51"/>
      <c r="U207" s="51"/>
      <c r="V207" s="51"/>
      <c r="W207" s="51"/>
      <c r="X207" s="51"/>
      <c r="Y207" s="51"/>
      <c r="Z207" s="51"/>
      <c r="AA207" s="51"/>
      <c r="AB207" s="51"/>
      <c r="AC207" s="51"/>
      <c r="AD207" s="51"/>
      <c r="AE207" s="51"/>
      <c r="AF207" s="51"/>
      <c r="AG207" s="51"/>
      <c r="AH207" s="51"/>
      <c r="AI207" s="51"/>
      <c r="AJ207" s="51"/>
      <c r="AK207" s="51"/>
      <c r="AL207" s="51"/>
      <c r="AM207" s="51"/>
      <c r="AN207" s="51"/>
      <c r="AO207" s="51"/>
      <c r="AP207" s="51"/>
      <c r="AQ207" s="51"/>
      <c r="AR207" s="51"/>
      <c r="AS207" s="51"/>
      <c r="AT207" s="51"/>
      <c r="AU207" s="51"/>
      <c r="AV207" s="51"/>
      <c r="AW207" s="51"/>
      <c r="AX207" s="51"/>
      <c r="AY207" s="51"/>
      <c r="AZ207" s="51"/>
      <c r="BA207" s="51"/>
      <c r="BB207" s="51"/>
      <c r="BC207" s="51"/>
      <c r="BD207" s="51"/>
      <c r="BE207" s="51"/>
      <c r="BF207" s="51"/>
    </row>
    <row r="208" spans="1:58" ht="18" customHeight="1" x14ac:dyDescent="0.2">
      <c r="A208" s="51"/>
      <c r="B208" s="51"/>
      <c r="C208" s="51"/>
      <c r="D208" s="51"/>
      <c r="E208" s="51"/>
      <c r="F208" s="51"/>
      <c r="G208" s="51"/>
      <c r="H208" s="51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  <c r="BC208" s="51"/>
      <c r="BD208" s="51"/>
      <c r="BE208" s="51"/>
      <c r="BF208" s="51"/>
    </row>
    <row r="209" spans="1:58" ht="18" customHeight="1" x14ac:dyDescent="0.2">
      <c r="A209" s="51"/>
      <c r="B209" s="51"/>
      <c r="C209" s="51"/>
      <c r="D209" s="51"/>
      <c r="E209" s="51"/>
      <c r="F209" s="51"/>
      <c r="G209" s="51"/>
      <c r="H209" s="51"/>
      <c r="I209" s="51"/>
      <c r="J209" s="51"/>
      <c r="K209" s="51"/>
      <c r="L209" s="51"/>
      <c r="M209" s="51"/>
      <c r="N209" s="51"/>
      <c r="O209" s="51"/>
      <c r="P209" s="51"/>
      <c r="Q209" s="51"/>
      <c r="R209" s="51"/>
      <c r="S209" s="51"/>
      <c r="T209" s="51"/>
      <c r="U209" s="51"/>
      <c r="V209" s="51"/>
      <c r="W209" s="51"/>
      <c r="X209" s="51"/>
      <c r="Y209" s="51"/>
      <c r="Z209" s="51"/>
      <c r="AA209" s="51"/>
      <c r="AB209" s="51"/>
      <c r="AC209" s="51"/>
      <c r="AD209" s="51"/>
      <c r="AE209" s="51"/>
      <c r="AF209" s="51"/>
      <c r="AG209" s="51"/>
      <c r="AH209" s="51"/>
      <c r="AI209" s="51"/>
      <c r="AJ209" s="51"/>
      <c r="AK209" s="51"/>
      <c r="AL209" s="51"/>
      <c r="AM209" s="51"/>
      <c r="AN209" s="51"/>
      <c r="AO209" s="51"/>
      <c r="AP209" s="51"/>
      <c r="AQ209" s="51"/>
      <c r="AR209" s="51"/>
      <c r="AS209" s="51"/>
      <c r="AT209" s="51"/>
      <c r="AU209" s="51"/>
      <c r="AV209" s="51"/>
      <c r="AW209" s="51"/>
      <c r="AX209" s="51"/>
      <c r="AY209" s="51"/>
      <c r="AZ209" s="51"/>
      <c r="BA209" s="51"/>
      <c r="BB209" s="51"/>
      <c r="BC209" s="51"/>
      <c r="BD209" s="51"/>
      <c r="BE209" s="51"/>
      <c r="BF209" s="51"/>
    </row>
    <row r="210" spans="1:58" ht="18" customHeight="1" x14ac:dyDescent="0.2">
      <c r="A210" s="51"/>
      <c r="B210" s="51"/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  <c r="S210" s="51"/>
      <c r="T210" s="51"/>
      <c r="U210" s="51"/>
      <c r="V210" s="51"/>
      <c r="W210" s="51"/>
      <c r="X210" s="51"/>
      <c r="Y210" s="51"/>
      <c r="Z210" s="51"/>
      <c r="AA210" s="51"/>
      <c r="AB210" s="51"/>
      <c r="AC210" s="51"/>
      <c r="AD210" s="51"/>
      <c r="AE210" s="51"/>
      <c r="AF210" s="51"/>
      <c r="AG210" s="51"/>
      <c r="AH210" s="51"/>
      <c r="AI210" s="51"/>
      <c r="AJ210" s="51"/>
      <c r="AK210" s="51"/>
      <c r="AL210" s="51"/>
      <c r="AM210" s="51"/>
      <c r="AN210" s="51"/>
      <c r="AO210" s="51"/>
      <c r="AP210" s="51"/>
      <c r="AQ210" s="51"/>
      <c r="AR210" s="51"/>
      <c r="AS210" s="51"/>
      <c r="AT210" s="51"/>
      <c r="AU210" s="51"/>
      <c r="AV210" s="51"/>
      <c r="AW210" s="51"/>
      <c r="AX210" s="51"/>
      <c r="AY210" s="51"/>
      <c r="AZ210" s="51"/>
      <c r="BA210" s="51"/>
      <c r="BB210" s="51"/>
      <c r="BC210" s="51"/>
      <c r="BD210" s="51"/>
      <c r="BE210" s="51"/>
      <c r="BF210" s="51"/>
    </row>
    <row r="211" spans="1:58" ht="18" customHeight="1" x14ac:dyDescent="0.2">
      <c r="A211" s="51"/>
      <c r="B211" s="51"/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  <c r="BC211" s="51"/>
      <c r="BD211" s="51"/>
      <c r="BE211" s="51"/>
      <c r="BF211" s="51"/>
    </row>
    <row r="212" spans="1:58" ht="18" customHeight="1" x14ac:dyDescent="0.2">
      <c r="A212" s="51"/>
      <c r="B212" s="51"/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  <c r="S212" s="51"/>
      <c r="T212" s="51"/>
      <c r="U212" s="51"/>
      <c r="V212" s="51"/>
      <c r="W212" s="51"/>
      <c r="X212" s="51"/>
      <c r="Y212" s="51"/>
      <c r="Z212" s="51"/>
      <c r="AA212" s="51"/>
      <c r="AB212" s="51"/>
      <c r="AC212" s="51"/>
      <c r="AD212" s="51"/>
      <c r="AE212" s="51"/>
      <c r="AF212" s="51"/>
      <c r="AG212" s="51"/>
      <c r="AH212" s="51"/>
      <c r="AI212" s="51"/>
      <c r="AJ212" s="51"/>
      <c r="AK212" s="51"/>
      <c r="AL212" s="51"/>
      <c r="AM212" s="51"/>
      <c r="AN212" s="51"/>
      <c r="AO212" s="51"/>
      <c r="AP212" s="51"/>
      <c r="AQ212" s="51"/>
      <c r="AR212" s="51"/>
      <c r="AS212" s="51"/>
      <c r="AT212" s="51"/>
      <c r="AU212" s="51"/>
      <c r="AV212" s="51"/>
      <c r="AW212" s="51"/>
      <c r="AX212" s="51"/>
      <c r="AY212" s="51"/>
      <c r="AZ212" s="51"/>
      <c r="BA212" s="51"/>
      <c r="BB212" s="51"/>
      <c r="BC212" s="51"/>
      <c r="BD212" s="51"/>
      <c r="BE212" s="51"/>
      <c r="BF212" s="51"/>
    </row>
    <row r="213" spans="1:58" ht="18" customHeight="1" x14ac:dyDescent="0.2">
      <c r="A213" s="51"/>
      <c r="B213" s="51"/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  <c r="S213" s="51"/>
      <c r="T213" s="51"/>
      <c r="U213" s="51"/>
      <c r="V213" s="51"/>
      <c r="W213" s="51"/>
      <c r="X213" s="51"/>
      <c r="Y213" s="51"/>
      <c r="Z213" s="51"/>
      <c r="AA213" s="51"/>
      <c r="AB213" s="51"/>
      <c r="AC213" s="51"/>
      <c r="AD213" s="51"/>
      <c r="AE213" s="51"/>
      <c r="AF213" s="51"/>
      <c r="AG213" s="51"/>
      <c r="AH213" s="51"/>
      <c r="AI213" s="51"/>
      <c r="AJ213" s="51"/>
      <c r="AK213" s="51"/>
      <c r="AL213" s="51"/>
      <c r="AM213" s="51"/>
      <c r="AN213" s="51"/>
      <c r="AO213" s="51"/>
      <c r="AP213" s="51"/>
      <c r="AQ213" s="51"/>
      <c r="AR213" s="51"/>
      <c r="AS213" s="51"/>
      <c r="AT213" s="51"/>
      <c r="AU213" s="51"/>
      <c r="AV213" s="51"/>
      <c r="AW213" s="51"/>
      <c r="AX213" s="51"/>
      <c r="AY213" s="51"/>
      <c r="AZ213" s="51"/>
      <c r="BA213" s="51"/>
      <c r="BB213" s="51"/>
      <c r="BC213" s="51"/>
      <c r="BD213" s="51"/>
      <c r="BE213" s="51"/>
      <c r="BF213" s="51"/>
    </row>
    <row r="214" spans="1:58" ht="18" customHeight="1" x14ac:dyDescent="0.2">
      <c r="A214" s="51"/>
      <c r="B214" s="51"/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  <c r="S214" s="51"/>
      <c r="T214" s="51"/>
      <c r="U214" s="51"/>
      <c r="V214" s="51"/>
      <c r="W214" s="51"/>
      <c r="X214" s="51"/>
      <c r="Y214" s="51"/>
      <c r="Z214" s="51"/>
      <c r="AA214" s="51"/>
      <c r="AB214" s="51"/>
      <c r="AC214" s="51"/>
      <c r="AD214" s="51"/>
      <c r="AE214" s="51"/>
      <c r="AF214" s="51"/>
      <c r="AG214" s="51"/>
      <c r="AH214" s="51"/>
      <c r="AI214" s="51"/>
      <c r="AJ214" s="51"/>
      <c r="AK214" s="51"/>
      <c r="AL214" s="51"/>
      <c r="AM214" s="51"/>
      <c r="AN214" s="51"/>
      <c r="AO214" s="51"/>
      <c r="AP214" s="51"/>
      <c r="AQ214" s="51"/>
      <c r="AR214" s="51"/>
      <c r="AS214" s="51"/>
      <c r="AT214" s="51"/>
      <c r="AU214" s="51"/>
      <c r="AV214" s="51"/>
      <c r="AW214" s="51"/>
      <c r="AX214" s="51"/>
      <c r="AY214" s="51"/>
      <c r="AZ214" s="51"/>
      <c r="BA214" s="51"/>
      <c r="BB214" s="51"/>
      <c r="BC214" s="51"/>
      <c r="BD214" s="51"/>
      <c r="BE214" s="51"/>
      <c r="BF214" s="51"/>
    </row>
    <row r="215" spans="1:58" ht="18" customHeight="1" x14ac:dyDescent="0.2">
      <c r="A215" s="51"/>
      <c r="B215" s="51"/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  <c r="S215" s="51"/>
      <c r="T215" s="51"/>
      <c r="U215" s="51"/>
      <c r="V215" s="51"/>
      <c r="W215" s="51"/>
      <c r="X215" s="51"/>
      <c r="Y215" s="51"/>
      <c r="Z215" s="51"/>
      <c r="AA215" s="51"/>
      <c r="AB215" s="51"/>
      <c r="AC215" s="51"/>
      <c r="AD215" s="51"/>
      <c r="AE215" s="51"/>
      <c r="AF215" s="51"/>
      <c r="AG215" s="51"/>
      <c r="AH215" s="51"/>
      <c r="AI215" s="51"/>
      <c r="AJ215" s="51"/>
      <c r="AK215" s="51"/>
      <c r="AL215" s="51"/>
      <c r="AM215" s="51"/>
      <c r="AN215" s="51"/>
      <c r="AO215" s="51"/>
      <c r="AP215" s="51"/>
      <c r="AQ215" s="51"/>
      <c r="AR215" s="51"/>
      <c r="AS215" s="51"/>
      <c r="AT215" s="51"/>
      <c r="AU215" s="51"/>
      <c r="AV215" s="51"/>
      <c r="AW215" s="51"/>
      <c r="AX215" s="51"/>
      <c r="AY215" s="51"/>
      <c r="AZ215" s="51"/>
      <c r="BA215" s="51"/>
      <c r="BB215" s="51"/>
      <c r="BC215" s="51"/>
      <c r="BD215" s="51"/>
      <c r="BE215" s="51"/>
      <c r="BF215" s="51"/>
    </row>
    <row r="216" spans="1:58" ht="18" customHeight="1" x14ac:dyDescent="0.2">
      <c r="A216" s="51"/>
      <c r="B216" s="51"/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E216" s="51"/>
      <c r="AF216" s="51"/>
      <c r="AG216" s="51"/>
      <c r="AH216" s="51"/>
      <c r="AI216" s="51"/>
      <c r="AJ216" s="51"/>
      <c r="AK216" s="51"/>
      <c r="AL216" s="51"/>
      <c r="AM216" s="51"/>
      <c r="AN216" s="51"/>
      <c r="AO216" s="51"/>
      <c r="AP216" s="51"/>
      <c r="AQ216" s="51"/>
      <c r="AR216" s="51"/>
      <c r="AS216" s="51"/>
      <c r="AT216" s="51"/>
      <c r="AU216" s="51"/>
      <c r="AV216" s="51"/>
      <c r="AW216" s="51"/>
      <c r="AX216" s="51"/>
      <c r="AY216" s="51"/>
      <c r="AZ216" s="51"/>
      <c r="BA216" s="51"/>
      <c r="BB216" s="51"/>
      <c r="BC216" s="51"/>
      <c r="BD216" s="51"/>
      <c r="BE216" s="51"/>
      <c r="BF216" s="51"/>
    </row>
    <row r="217" spans="1:58" ht="18" customHeight="1" x14ac:dyDescent="0.2">
      <c r="A217" s="51"/>
      <c r="B217" s="51"/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  <c r="S217" s="51"/>
      <c r="T217" s="51"/>
      <c r="U217" s="51"/>
      <c r="V217" s="51"/>
      <c r="W217" s="51"/>
      <c r="X217" s="51"/>
      <c r="Y217" s="51"/>
      <c r="Z217" s="51"/>
      <c r="AA217" s="51"/>
      <c r="AB217" s="51"/>
      <c r="AC217" s="51"/>
      <c r="AD217" s="51"/>
      <c r="AE217" s="51"/>
      <c r="AF217" s="51"/>
      <c r="AG217" s="51"/>
      <c r="AH217" s="51"/>
      <c r="AI217" s="51"/>
      <c r="AJ217" s="51"/>
      <c r="AK217" s="51"/>
      <c r="AL217" s="51"/>
      <c r="AM217" s="51"/>
      <c r="AN217" s="51"/>
      <c r="AO217" s="51"/>
      <c r="AP217" s="51"/>
      <c r="AQ217" s="51"/>
      <c r="AR217" s="51"/>
      <c r="AS217" s="51"/>
      <c r="AT217" s="51"/>
      <c r="AU217" s="51"/>
      <c r="AV217" s="51"/>
      <c r="AW217" s="51"/>
      <c r="AX217" s="51"/>
      <c r="AY217" s="51"/>
      <c r="AZ217" s="51"/>
      <c r="BA217" s="51"/>
      <c r="BB217" s="51"/>
      <c r="BC217" s="51"/>
      <c r="BD217" s="51"/>
      <c r="BE217" s="51"/>
      <c r="BF217" s="51"/>
    </row>
    <row r="218" spans="1:58" ht="18" customHeight="1" x14ac:dyDescent="0.2">
      <c r="A218" s="51"/>
      <c r="B218" s="51"/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  <c r="S218" s="51"/>
      <c r="T218" s="51"/>
      <c r="U218" s="51"/>
      <c r="V218" s="51"/>
      <c r="W218" s="51"/>
      <c r="X218" s="51"/>
      <c r="Y218" s="51"/>
      <c r="Z218" s="51"/>
      <c r="AA218" s="51"/>
      <c r="AB218" s="51"/>
      <c r="AC218" s="51"/>
      <c r="AD218" s="51"/>
      <c r="AE218" s="51"/>
      <c r="AF218" s="51"/>
      <c r="AG218" s="51"/>
      <c r="AH218" s="51"/>
      <c r="AI218" s="51"/>
      <c r="AJ218" s="51"/>
      <c r="AK218" s="51"/>
      <c r="AL218" s="51"/>
      <c r="AM218" s="51"/>
      <c r="AN218" s="51"/>
      <c r="AO218" s="51"/>
      <c r="AP218" s="51"/>
      <c r="AQ218" s="51"/>
      <c r="AR218" s="51"/>
      <c r="AS218" s="51"/>
      <c r="AT218" s="51"/>
      <c r="AU218" s="51"/>
      <c r="AV218" s="51"/>
      <c r="AW218" s="51"/>
      <c r="AX218" s="51"/>
      <c r="AY218" s="51"/>
      <c r="AZ218" s="51"/>
      <c r="BA218" s="51"/>
      <c r="BB218" s="51"/>
      <c r="BC218" s="51"/>
      <c r="BD218" s="51"/>
      <c r="BE218" s="51"/>
      <c r="BF218" s="51"/>
    </row>
    <row r="219" spans="1:58" ht="18" customHeight="1" x14ac:dyDescent="0.2">
      <c r="A219" s="51"/>
      <c r="B219" s="51"/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  <c r="S219" s="51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  <c r="AE219" s="51"/>
      <c r="AF219" s="51"/>
      <c r="AG219" s="51"/>
      <c r="AH219" s="51"/>
      <c r="AI219" s="51"/>
      <c r="AJ219" s="51"/>
      <c r="AK219" s="51"/>
      <c r="AL219" s="51"/>
      <c r="AM219" s="51"/>
      <c r="AN219" s="51"/>
      <c r="AO219" s="51"/>
      <c r="AP219" s="51"/>
      <c r="AQ219" s="51"/>
      <c r="AR219" s="51"/>
      <c r="AS219" s="51"/>
      <c r="AT219" s="51"/>
      <c r="AU219" s="51"/>
      <c r="AV219" s="51"/>
      <c r="AW219" s="51"/>
      <c r="AX219" s="51"/>
      <c r="AY219" s="51"/>
      <c r="AZ219" s="51"/>
      <c r="BA219" s="51"/>
      <c r="BB219" s="51"/>
      <c r="BC219" s="51"/>
      <c r="BD219" s="51"/>
      <c r="BE219" s="51"/>
      <c r="BF219" s="51"/>
    </row>
    <row r="220" spans="1:58" ht="18" customHeight="1" x14ac:dyDescent="0.2">
      <c r="A220" s="51"/>
      <c r="B220" s="51"/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E220" s="51"/>
      <c r="AF220" s="51"/>
      <c r="AG220" s="51"/>
      <c r="AH220" s="51"/>
      <c r="AI220" s="51"/>
      <c r="AJ220" s="51"/>
      <c r="AK220" s="51"/>
      <c r="AL220" s="51"/>
      <c r="AM220" s="51"/>
      <c r="AN220" s="51"/>
      <c r="AO220" s="51"/>
      <c r="AP220" s="51"/>
      <c r="AQ220" s="51"/>
      <c r="AR220" s="51"/>
      <c r="AS220" s="51"/>
      <c r="AT220" s="51"/>
      <c r="AU220" s="51"/>
      <c r="AV220" s="51"/>
      <c r="AW220" s="51"/>
      <c r="AX220" s="51"/>
      <c r="AY220" s="51"/>
      <c r="AZ220" s="51"/>
      <c r="BA220" s="51"/>
      <c r="BB220" s="51"/>
      <c r="BC220" s="51"/>
      <c r="BD220" s="51"/>
      <c r="BE220" s="51"/>
      <c r="BF220" s="51"/>
    </row>
    <row r="221" spans="1:58" ht="18" customHeight="1" x14ac:dyDescent="0.2">
      <c r="A221" s="51"/>
      <c r="B221" s="51"/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  <c r="S221" s="51"/>
      <c r="T221" s="51"/>
      <c r="U221" s="51"/>
      <c r="V221" s="51"/>
      <c r="W221" s="51"/>
      <c r="X221" s="51"/>
      <c r="Y221" s="51"/>
      <c r="Z221" s="51"/>
      <c r="AA221" s="51"/>
      <c r="AB221" s="51"/>
      <c r="AC221" s="51"/>
      <c r="AD221" s="51"/>
      <c r="AE221" s="51"/>
      <c r="AF221" s="51"/>
      <c r="AG221" s="51"/>
      <c r="AH221" s="51"/>
      <c r="AI221" s="51"/>
      <c r="AJ221" s="51"/>
      <c r="AK221" s="51"/>
      <c r="AL221" s="51"/>
      <c r="AM221" s="51"/>
      <c r="AN221" s="51"/>
      <c r="AO221" s="51"/>
      <c r="AP221" s="51"/>
      <c r="AQ221" s="51"/>
      <c r="AR221" s="51"/>
      <c r="AS221" s="51"/>
      <c r="AT221" s="51"/>
      <c r="AU221" s="51"/>
      <c r="AV221" s="51"/>
      <c r="AW221" s="51"/>
      <c r="AX221" s="51"/>
      <c r="AY221" s="51"/>
      <c r="AZ221" s="51"/>
      <c r="BA221" s="51"/>
      <c r="BB221" s="51"/>
      <c r="BC221" s="51"/>
      <c r="BD221" s="51"/>
      <c r="BE221" s="51"/>
      <c r="BF221" s="51"/>
    </row>
    <row r="222" spans="1:58" ht="18" customHeight="1" x14ac:dyDescent="0.2">
      <c r="A222" s="51"/>
      <c r="B222" s="51"/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  <c r="S222" s="51"/>
      <c r="T222" s="51"/>
      <c r="U222" s="51"/>
      <c r="V222" s="51"/>
      <c r="W222" s="51"/>
      <c r="X222" s="51"/>
      <c r="Y222" s="51"/>
      <c r="Z222" s="51"/>
      <c r="AA222" s="51"/>
      <c r="AB222" s="51"/>
      <c r="AC222" s="51"/>
      <c r="AD222" s="51"/>
      <c r="AE222" s="51"/>
      <c r="AF222" s="51"/>
      <c r="AG222" s="51"/>
      <c r="AH222" s="51"/>
      <c r="AI222" s="51"/>
      <c r="AJ222" s="51"/>
      <c r="AK222" s="51"/>
      <c r="AL222" s="51"/>
      <c r="AM222" s="51"/>
      <c r="AN222" s="51"/>
      <c r="AO222" s="51"/>
      <c r="AP222" s="51"/>
      <c r="AQ222" s="51"/>
      <c r="AR222" s="51"/>
      <c r="AS222" s="51"/>
      <c r="AT222" s="51"/>
      <c r="AU222" s="51"/>
      <c r="AV222" s="51"/>
      <c r="AW222" s="51"/>
      <c r="AX222" s="51"/>
      <c r="AY222" s="51"/>
      <c r="AZ222" s="51"/>
      <c r="BA222" s="51"/>
      <c r="BB222" s="51"/>
      <c r="BC222" s="51"/>
      <c r="BD222" s="51"/>
      <c r="BE222" s="51"/>
      <c r="BF222" s="51"/>
    </row>
    <row r="223" spans="1:58" ht="18" customHeight="1" x14ac:dyDescent="0.2">
      <c r="A223" s="51"/>
      <c r="B223" s="51"/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  <c r="S223" s="51"/>
      <c r="T223" s="51"/>
      <c r="U223" s="51"/>
      <c r="V223" s="51"/>
      <c r="W223" s="51"/>
      <c r="X223" s="51"/>
      <c r="Y223" s="51"/>
      <c r="Z223" s="51"/>
      <c r="AA223" s="51"/>
      <c r="AB223" s="51"/>
      <c r="AC223" s="51"/>
      <c r="AD223" s="51"/>
      <c r="AE223" s="51"/>
      <c r="AF223" s="51"/>
      <c r="AG223" s="51"/>
      <c r="AH223" s="51"/>
      <c r="AI223" s="51"/>
      <c r="AJ223" s="51"/>
      <c r="AK223" s="51"/>
      <c r="AL223" s="51"/>
      <c r="AM223" s="51"/>
      <c r="AN223" s="51"/>
      <c r="AO223" s="51"/>
      <c r="AP223" s="51"/>
      <c r="AQ223" s="51"/>
      <c r="AR223" s="51"/>
      <c r="AS223" s="51"/>
      <c r="AT223" s="51"/>
      <c r="AU223" s="51"/>
      <c r="AV223" s="51"/>
      <c r="AW223" s="51"/>
      <c r="AX223" s="51"/>
      <c r="AY223" s="51"/>
      <c r="AZ223" s="51"/>
      <c r="BA223" s="51"/>
      <c r="BB223" s="51"/>
      <c r="BC223" s="51"/>
      <c r="BD223" s="51"/>
      <c r="BE223" s="51"/>
      <c r="BF223" s="51"/>
    </row>
    <row r="224" spans="1:58" ht="18" customHeight="1" x14ac:dyDescent="0.2">
      <c r="A224" s="51"/>
      <c r="B224" s="51"/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  <c r="S224" s="51"/>
      <c r="T224" s="51"/>
      <c r="U224" s="51"/>
      <c r="V224" s="51"/>
      <c r="W224" s="51"/>
      <c r="X224" s="51"/>
      <c r="Y224" s="51"/>
      <c r="Z224" s="51"/>
      <c r="AA224" s="51"/>
      <c r="AB224" s="51"/>
      <c r="AC224" s="51"/>
      <c r="AD224" s="51"/>
      <c r="AE224" s="51"/>
      <c r="AF224" s="51"/>
      <c r="AG224" s="51"/>
      <c r="AH224" s="51"/>
      <c r="AI224" s="51"/>
      <c r="AJ224" s="51"/>
      <c r="AK224" s="51"/>
      <c r="AL224" s="51"/>
      <c r="AM224" s="51"/>
      <c r="AN224" s="51"/>
      <c r="AO224" s="51"/>
      <c r="AP224" s="51"/>
      <c r="AQ224" s="51"/>
      <c r="AR224" s="51"/>
      <c r="AS224" s="51"/>
      <c r="AT224" s="51"/>
      <c r="AU224" s="51"/>
      <c r="AV224" s="51"/>
      <c r="AW224" s="51"/>
      <c r="AX224" s="51"/>
      <c r="AY224" s="51"/>
      <c r="AZ224" s="51"/>
      <c r="BA224" s="51"/>
      <c r="BB224" s="51"/>
      <c r="BC224" s="51"/>
      <c r="BD224" s="51"/>
      <c r="BE224" s="51"/>
      <c r="BF224" s="51"/>
    </row>
    <row r="225" spans="1:58" ht="18" customHeight="1" x14ac:dyDescent="0.2">
      <c r="A225" s="51"/>
      <c r="B225" s="51"/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  <c r="S225" s="51"/>
      <c r="T225" s="51"/>
      <c r="U225" s="51"/>
      <c r="V225" s="51"/>
      <c r="W225" s="51"/>
      <c r="X225" s="51"/>
      <c r="Y225" s="51"/>
      <c r="Z225" s="51"/>
      <c r="AA225" s="51"/>
      <c r="AB225" s="51"/>
      <c r="AC225" s="51"/>
      <c r="AD225" s="51"/>
      <c r="AE225" s="51"/>
      <c r="AF225" s="51"/>
      <c r="AG225" s="51"/>
      <c r="AH225" s="51"/>
      <c r="AI225" s="51"/>
      <c r="AJ225" s="51"/>
      <c r="AK225" s="51"/>
      <c r="AL225" s="51"/>
      <c r="AM225" s="51"/>
      <c r="AN225" s="51"/>
      <c r="AO225" s="51"/>
      <c r="AP225" s="51"/>
      <c r="AQ225" s="51"/>
      <c r="AR225" s="51"/>
      <c r="AS225" s="51"/>
      <c r="AT225" s="51"/>
      <c r="AU225" s="51"/>
      <c r="AV225" s="51"/>
      <c r="AW225" s="51"/>
      <c r="AX225" s="51"/>
      <c r="AY225" s="51"/>
      <c r="AZ225" s="51"/>
      <c r="BA225" s="51"/>
      <c r="BB225" s="51"/>
      <c r="BC225" s="51"/>
      <c r="BD225" s="51"/>
      <c r="BE225" s="51"/>
      <c r="BF225" s="51"/>
    </row>
    <row r="226" spans="1:58" ht="18" customHeight="1" x14ac:dyDescent="0.2">
      <c r="A226" s="51"/>
      <c r="B226" s="51"/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  <c r="BC226" s="51"/>
      <c r="BD226" s="51"/>
      <c r="BE226" s="51"/>
      <c r="BF226" s="51"/>
    </row>
    <row r="227" spans="1:58" ht="18" customHeight="1" x14ac:dyDescent="0.2">
      <c r="A227" s="51"/>
      <c r="B227" s="51"/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  <c r="S227" s="51"/>
      <c r="T227" s="51"/>
      <c r="U227" s="51"/>
      <c r="V227" s="51"/>
      <c r="W227" s="51"/>
      <c r="X227" s="51"/>
      <c r="Y227" s="51"/>
      <c r="Z227" s="51"/>
      <c r="AA227" s="51"/>
      <c r="AB227" s="51"/>
      <c r="AC227" s="51"/>
      <c r="AD227" s="51"/>
      <c r="AE227" s="51"/>
      <c r="AF227" s="51"/>
      <c r="AG227" s="51"/>
      <c r="AH227" s="51"/>
      <c r="AI227" s="51"/>
      <c r="AJ227" s="51"/>
      <c r="AK227" s="51"/>
      <c r="AL227" s="51"/>
      <c r="AM227" s="51"/>
      <c r="AN227" s="51"/>
      <c r="AO227" s="51"/>
      <c r="AP227" s="51"/>
      <c r="AQ227" s="51"/>
      <c r="AR227" s="51"/>
      <c r="AS227" s="51"/>
      <c r="AT227" s="51"/>
      <c r="AU227" s="51"/>
      <c r="AV227" s="51"/>
      <c r="AW227" s="51"/>
      <c r="AX227" s="51"/>
      <c r="AY227" s="51"/>
      <c r="AZ227" s="51"/>
      <c r="BA227" s="51"/>
      <c r="BB227" s="51"/>
      <c r="BC227" s="51"/>
      <c r="BD227" s="51"/>
      <c r="BE227" s="51"/>
      <c r="BF227" s="51"/>
    </row>
    <row r="228" spans="1:58" ht="18" customHeight="1" x14ac:dyDescent="0.2">
      <c r="A228" s="51"/>
      <c r="B228" s="51"/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  <c r="S228" s="51"/>
      <c r="T228" s="51"/>
      <c r="U228" s="51"/>
      <c r="V228" s="51"/>
      <c r="W228" s="51"/>
      <c r="X228" s="51"/>
      <c r="Y228" s="51"/>
      <c r="Z228" s="51"/>
      <c r="AA228" s="51"/>
      <c r="AB228" s="51"/>
      <c r="AC228" s="51"/>
      <c r="AD228" s="51"/>
      <c r="AE228" s="51"/>
      <c r="AF228" s="51"/>
      <c r="AG228" s="51"/>
      <c r="AH228" s="51"/>
      <c r="AI228" s="51"/>
      <c r="AJ228" s="51"/>
      <c r="AK228" s="51"/>
      <c r="AL228" s="51"/>
      <c r="AM228" s="51"/>
      <c r="AN228" s="51"/>
      <c r="AO228" s="51"/>
      <c r="AP228" s="51"/>
      <c r="AQ228" s="51"/>
      <c r="AR228" s="51"/>
      <c r="AS228" s="51"/>
      <c r="AT228" s="51"/>
      <c r="AU228" s="51"/>
      <c r="AV228" s="51"/>
      <c r="AW228" s="51"/>
      <c r="AX228" s="51"/>
      <c r="AY228" s="51"/>
      <c r="AZ228" s="51"/>
      <c r="BA228" s="51"/>
      <c r="BB228" s="51"/>
      <c r="BC228" s="51"/>
      <c r="BD228" s="51"/>
      <c r="BE228" s="51"/>
      <c r="BF228" s="51"/>
    </row>
    <row r="229" spans="1:58" ht="18" customHeight="1" x14ac:dyDescent="0.2">
      <c r="A229" s="51"/>
      <c r="B229" s="51"/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  <c r="S229" s="51"/>
      <c r="T229" s="51"/>
      <c r="U229" s="51"/>
      <c r="V229" s="51"/>
      <c r="W229" s="51"/>
      <c r="X229" s="51"/>
      <c r="Y229" s="51"/>
      <c r="Z229" s="51"/>
      <c r="AA229" s="51"/>
      <c r="AB229" s="51"/>
      <c r="AC229" s="51"/>
      <c r="AD229" s="51"/>
      <c r="AE229" s="51"/>
      <c r="AF229" s="51"/>
      <c r="AG229" s="51"/>
      <c r="AH229" s="51"/>
      <c r="AI229" s="51"/>
      <c r="AJ229" s="51"/>
      <c r="AK229" s="51"/>
      <c r="AL229" s="51"/>
      <c r="AM229" s="51"/>
      <c r="AN229" s="51"/>
      <c r="AO229" s="51"/>
      <c r="AP229" s="51"/>
      <c r="AQ229" s="51"/>
      <c r="AR229" s="51"/>
      <c r="AS229" s="51"/>
      <c r="AT229" s="51"/>
      <c r="AU229" s="51"/>
      <c r="AV229" s="51"/>
      <c r="AW229" s="51"/>
      <c r="AX229" s="51"/>
      <c r="AY229" s="51"/>
      <c r="AZ229" s="51"/>
      <c r="BA229" s="51"/>
      <c r="BB229" s="51"/>
      <c r="BC229" s="51"/>
      <c r="BD229" s="51"/>
      <c r="BE229" s="51"/>
      <c r="BF229" s="51"/>
    </row>
    <row r="230" spans="1:58" ht="18" customHeight="1" x14ac:dyDescent="0.2">
      <c r="A230" s="51"/>
      <c r="B230" s="51"/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  <c r="S230" s="51"/>
      <c r="T230" s="51"/>
      <c r="U230" s="51"/>
      <c r="V230" s="51"/>
      <c r="W230" s="51"/>
      <c r="X230" s="51"/>
      <c r="Y230" s="51"/>
      <c r="Z230" s="51"/>
      <c r="AA230" s="51"/>
      <c r="AB230" s="51"/>
      <c r="AC230" s="51"/>
      <c r="AD230" s="51"/>
      <c r="AE230" s="51"/>
      <c r="AF230" s="51"/>
      <c r="AG230" s="51"/>
      <c r="AH230" s="51"/>
      <c r="AI230" s="51"/>
      <c r="AJ230" s="51"/>
      <c r="AK230" s="51"/>
      <c r="AL230" s="51"/>
      <c r="AM230" s="51"/>
      <c r="AN230" s="51"/>
      <c r="AO230" s="51"/>
      <c r="AP230" s="51"/>
      <c r="AQ230" s="51"/>
      <c r="AR230" s="51"/>
      <c r="AS230" s="51"/>
      <c r="AT230" s="51"/>
      <c r="AU230" s="51"/>
      <c r="AV230" s="51"/>
      <c r="AW230" s="51"/>
      <c r="AX230" s="51"/>
      <c r="AY230" s="51"/>
      <c r="AZ230" s="51"/>
      <c r="BA230" s="51"/>
      <c r="BB230" s="51"/>
      <c r="BC230" s="51"/>
      <c r="BD230" s="51"/>
      <c r="BE230" s="51"/>
      <c r="BF230" s="51"/>
    </row>
    <row r="231" spans="1:58" ht="18" customHeight="1" x14ac:dyDescent="0.2">
      <c r="A231" s="51"/>
      <c r="B231" s="51"/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  <c r="S231" s="51"/>
      <c r="T231" s="51"/>
      <c r="U231" s="51"/>
      <c r="V231" s="51"/>
      <c r="W231" s="51"/>
      <c r="X231" s="51"/>
      <c r="Y231" s="51"/>
      <c r="Z231" s="51"/>
      <c r="AA231" s="51"/>
      <c r="AB231" s="51"/>
      <c r="AC231" s="51"/>
      <c r="AD231" s="51"/>
      <c r="AE231" s="51"/>
      <c r="AF231" s="51"/>
      <c r="AG231" s="51"/>
      <c r="AH231" s="51"/>
      <c r="AI231" s="51"/>
      <c r="AJ231" s="51"/>
      <c r="AK231" s="51"/>
      <c r="AL231" s="51"/>
      <c r="AM231" s="51"/>
      <c r="AN231" s="51"/>
      <c r="AO231" s="51"/>
      <c r="AP231" s="51"/>
      <c r="AQ231" s="51"/>
      <c r="AR231" s="51"/>
      <c r="AS231" s="51"/>
      <c r="AT231" s="51"/>
      <c r="AU231" s="51"/>
      <c r="AV231" s="51"/>
      <c r="AW231" s="51"/>
      <c r="AX231" s="51"/>
      <c r="AY231" s="51"/>
      <c r="AZ231" s="51"/>
      <c r="BA231" s="51"/>
      <c r="BB231" s="51"/>
      <c r="BC231" s="51"/>
      <c r="BD231" s="51"/>
      <c r="BE231" s="51"/>
      <c r="BF231" s="51"/>
    </row>
    <row r="232" spans="1:58" ht="18" customHeight="1" x14ac:dyDescent="0.2">
      <c r="A232" s="51"/>
      <c r="B232" s="51"/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  <c r="BC232" s="51"/>
      <c r="BD232" s="51"/>
      <c r="BE232" s="51"/>
      <c r="BF232" s="51"/>
    </row>
    <row r="233" spans="1:58" ht="18" customHeight="1" x14ac:dyDescent="0.2">
      <c r="A233" s="51"/>
      <c r="B233" s="51"/>
      <c r="C233" s="51"/>
      <c r="D233" s="51"/>
      <c r="E233" s="51"/>
      <c r="F233" s="51"/>
      <c r="G233" s="51"/>
      <c r="H233" s="51"/>
      <c r="I233" s="51"/>
      <c r="J233" s="51"/>
      <c r="K233" s="51"/>
      <c r="L233" s="51"/>
      <c r="M233" s="51"/>
      <c r="N233" s="51"/>
      <c r="O233" s="51"/>
      <c r="P233" s="51"/>
      <c r="Q233" s="51"/>
      <c r="R233" s="51"/>
      <c r="S233" s="51"/>
      <c r="T233" s="51"/>
      <c r="U233" s="51"/>
      <c r="V233" s="51"/>
      <c r="W233" s="51"/>
      <c r="X233" s="51"/>
      <c r="Y233" s="51"/>
      <c r="Z233" s="51"/>
      <c r="AA233" s="51"/>
      <c r="AB233" s="51"/>
      <c r="AC233" s="51"/>
      <c r="AD233" s="51"/>
      <c r="AE233" s="51"/>
      <c r="AF233" s="51"/>
      <c r="AG233" s="51"/>
      <c r="AH233" s="51"/>
      <c r="AI233" s="51"/>
      <c r="AJ233" s="51"/>
      <c r="AK233" s="51"/>
      <c r="AL233" s="51"/>
      <c r="AM233" s="51"/>
      <c r="AN233" s="51"/>
      <c r="AO233" s="51"/>
      <c r="AP233" s="51"/>
      <c r="AQ233" s="51"/>
      <c r="AR233" s="51"/>
      <c r="AS233" s="51"/>
      <c r="AT233" s="51"/>
      <c r="AU233" s="51"/>
      <c r="AV233" s="51"/>
      <c r="AW233" s="51"/>
      <c r="AX233" s="51"/>
      <c r="AY233" s="51"/>
      <c r="AZ233" s="51"/>
      <c r="BA233" s="51"/>
      <c r="BB233" s="51"/>
      <c r="BC233" s="51"/>
      <c r="BD233" s="51"/>
      <c r="BE233" s="51"/>
      <c r="BF233" s="51"/>
    </row>
    <row r="234" spans="1:58" ht="18" customHeight="1" x14ac:dyDescent="0.2">
      <c r="A234" s="51"/>
      <c r="B234" s="51"/>
      <c r="C234" s="51"/>
      <c r="D234" s="51"/>
      <c r="E234" s="51"/>
      <c r="F234" s="51"/>
      <c r="G234" s="51"/>
      <c r="H234" s="51"/>
      <c r="I234" s="51"/>
      <c r="J234" s="51"/>
      <c r="K234" s="51"/>
      <c r="L234" s="51"/>
      <c r="M234" s="51"/>
      <c r="N234" s="51"/>
      <c r="O234" s="51"/>
      <c r="P234" s="51"/>
      <c r="Q234" s="51"/>
      <c r="R234" s="51"/>
      <c r="S234" s="51"/>
      <c r="T234" s="51"/>
      <c r="U234" s="51"/>
      <c r="V234" s="51"/>
      <c r="W234" s="51"/>
      <c r="X234" s="51"/>
      <c r="Y234" s="51"/>
      <c r="Z234" s="51"/>
      <c r="AA234" s="51"/>
      <c r="AB234" s="51"/>
      <c r="AC234" s="51"/>
      <c r="AD234" s="51"/>
      <c r="AE234" s="51"/>
      <c r="AF234" s="51"/>
      <c r="AG234" s="51"/>
      <c r="AH234" s="51"/>
      <c r="AI234" s="51"/>
      <c r="AJ234" s="51"/>
      <c r="AK234" s="51"/>
      <c r="AL234" s="51"/>
      <c r="AM234" s="51"/>
      <c r="AN234" s="51"/>
      <c r="AO234" s="51"/>
      <c r="AP234" s="51"/>
      <c r="AQ234" s="51"/>
      <c r="AR234" s="51"/>
      <c r="AS234" s="51"/>
      <c r="AT234" s="51"/>
      <c r="AU234" s="51"/>
      <c r="AV234" s="51"/>
      <c r="AW234" s="51"/>
      <c r="AX234" s="51"/>
      <c r="AY234" s="51"/>
      <c r="AZ234" s="51"/>
      <c r="BA234" s="51"/>
      <c r="BB234" s="51"/>
      <c r="BC234" s="51"/>
      <c r="BD234" s="51"/>
      <c r="BE234" s="51"/>
      <c r="BF234" s="51"/>
    </row>
    <row r="235" spans="1:58" ht="18" customHeight="1" x14ac:dyDescent="0.2">
      <c r="A235" s="51"/>
      <c r="B235" s="51"/>
      <c r="C235" s="51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  <c r="P235" s="51"/>
      <c r="Q235" s="51"/>
      <c r="R235" s="51"/>
      <c r="S235" s="51"/>
      <c r="T235" s="51"/>
      <c r="U235" s="51"/>
      <c r="V235" s="51"/>
      <c r="W235" s="51"/>
      <c r="X235" s="51"/>
      <c r="Y235" s="51"/>
      <c r="Z235" s="51"/>
      <c r="AA235" s="51"/>
      <c r="AB235" s="51"/>
      <c r="AC235" s="51"/>
      <c r="AD235" s="51"/>
      <c r="AE235" s="51"/>
      <c r="AF235" s="51"/>
      <c r="AG235" s="51"/>
      <c r="AH235" s="51"/>
      <c r="AI235" s="51"/>
      <c r="AJ235" s="51"/>
      <c r="AK235" s="51"/>
      <c r="AL235" s="51"/>
      <c r="AM235" s="51"/>
      <c r="AN235" s="51"/>
      <c r="AO235" s="51"/>
      <c r="AP235" s="51"/>
      <c r="AQ235" s="51"/>
      <c r="AR235" s="51"/>
      <c r="AS235" s="51"/>
      <c r="AT235" s="51"/>
      <c r="AU235" s="51"/>
      <c r="AV235" s="51"/>
      <c r="AW235" s="51"/>
      <c r="AX235" s="51"/>
      <c r="AY235" s="51"/>
      <c r="AZ235" s="51"/>
      <c r="BA235" s="51"/>
      <c r="BB235" s="51"/>
      <c r="BC235" s="51"/>
      <c r="BD235" s="51"/>
      <c r="BE235" s="51"/>
      <c r="BF235" s="51"/>
    </row>
    <row r="236" spans="1:58" ht="18" customHeight="1" x14ac:dyDescent="0.2">
      <c r="A236" s="51"/>
      <c r="B236" s="51"/>
      <c r="C236" s="51"/>
      <c r="D236" s="51"/>
      <c r="E236" s="51"/>
      <c r="F236" s="51"/>
      <c r="G236" s="51"/>
      <c r="H236" s="51"/>
      <c r="I236" s="51"/>
      <c r="J236" s="51"/>
      <c r="K236" s="51"/>
      <c r="L236" s="51"/>
      <c r="M236" s="51"/>
      <c r="N236" s="51"/>
      <c r="O236" s="51"/>
      <c r="P236" s="51"/>
      <c r="Q236" s="51"/>
      <c r="R236" s="51"/>
      <c r="S236" s="51"/>
      <c r="T236" s="51"/>
      <c r="U236" s="51"/>
      <c r="V236" s="51"/>
      <c r="W236" s="51"/>
      <c r="X236" s="51"/>
      <c r="Y236" s="51"/>
      <c r="Z236" s="51"/>
      <c r="AA236" s="51"/>
      <c r="AB236" s="51"/>
      <c r="AC236" s="51"/>
      <c r="AD236" s="51"/>
      <c r="AE236" s="51"/>
      <c r="AF236" s="51"/>
      <c r="AG236" s="51"/>
      <c r="AH236" s="51"/>
      <c r="AI236" s="51"/>
      <c r="AJ236" s="51"/>
      <c r="AK236" s="51"/>
      <c r="AL236" s="51"/>
      <c r="AM236" s="51"/>
      <c r="AN236" s="51"/>
      <c r="AO236" s="51"/>
      <c r="AP236" s="51"/>
      <c r="AQ236" s="51"/>
      <c r="AR236" s="51"/>
      <c r="AS236" s="51"/>
      <c r="AT236" s="51"/>
      <c r="AU236" s="51"/>
      <c r="AV236" s="51"/>
      <c r="AW236" s="51"/>
      <c r="AX236" s="51"/>
      <c r="AY236" s="51"/>
      <c r="AZ236" s="51"/>
      <c r="BA236" s="51"/>
      <c r="BB236" s="51"/>
      <c r="BC236" s="51"/>
      <c r="BD236" s="51"/>
      <c r="BE236" s="51"/>
      <c r="BF236" s="51"/>
    </row>
    <row r="237" spans="1:58" ht="18" customHeight="1" x14ac:dyDescent="0.2">
      <c r="A237" s="51"/>
      <c r="B237" s="51"/>
      <c r="C237" s="51"/>
      <c r="D237" s="51"/>
      <c r="E237" s="51"/>
      <c r="F237" s="51"/>
      <c r="G237" s="51"/>
      <c r="H237" s="51"/>
      <c r="I237" s="51"/>
      <c r="J237" s="51"/>
      <c r="K237" s="51"/>
      <c r="L237" s="51"/>
      <c r="M237" s="51"/>
      <c r="N237" s="51"/>
      <c r="O237" s="51"/>
      <c r="P237" s="51"/>
      <c r="Q237" s="51"/>
      <c r="R237" s="51"/>
      <c r="S237" s="51"/>
      <c r="T237" s="51"/>
      <c r="U237" s="51"/>
      <c r="V237" s="51"/>
      <c r="W237" s="51"/>
      <c r="X237" s="51"/>
      <c r="Y237" s="51"/>
      <c r="Z237" s="51"/>
      <c r="AA237" s="51"/>
      <c r="AB237" s="51"/>
      <c r="AC237" s="51"/>
      <c r="AD237" s="51"/>
      <c r="AE237" s="51"/>
      <c r="AF237" s="51"/>
      <c r="AG237" s="51"/>
      <c r="AH237" s="51"/>
      <c r="AI237" s="51"/>
      <c r="AJ237" s="51"/>
      <c r="AK237" s="51"/>
      <c r="AL237" s="51"/>
      <c r="AM237" s="51"/>
      <c r="AN237" s="51"/>
      <c r="AO237" s="51"/>
      <c r="AP237" s="51"/>
      <c r="AQ237" s="51"/>
      <c r="AR237" s="51"/>
      <c r="AS237" s="51"/>
      <c r="AT237" s="51"/>
      <c r="AU237" s="51"/>
      <c r="AV237" s="51"/>
      <c r="AW237" s="51"/>
      <c r="AX237" s="51"/>
      <c r="AY237" s="51"/>
      <c r="AZ237" s="51"/>
      <c r="BA237" s="51"/>
      <c r="BB237" s="51"/>
      <c r="BC237" s="51"/>
      <c r="BD237" s="51"/>
      <c r="BE237" s="51"/>
      <c r="BF237" s="51"/>
    </row>
    <row r="238" spans="1:58" ht="18" customHeight="1" x14ac:dyDescent="0.2">
      <c r="A238" s="51"/>
      <c r="B238" s="51"/>
      <c r="C238" s="51"/>
      <c r="D238" s="51"/>
      <c r="E238" s="51"/>
      <c r="F238" s="51"/>
      <c r="G238" s="51"/>
      <c r="H238" s="51"/>
      <c r="I238" s="51"/>
      <c r="J238" s="51"/>
      <c r="K238" s="51"/>
      <c r="L238" s="51"/>
      <c r="M238" s="51"/>
      <c r="N238" s="51"/>
      <c r="O238" s="51"/>
      <c r="P238" s="51"/>
      <c r="Q238" s="51"/>
      <c r="R238" s="51"/>
      <c r="S238" s="51"/>
      <c r="T238" s="51"/>
      <c r="U238" s="51"/>
      <c r="V238" s="51"/>
      <c r="W238" s="51"/>
      <c r="X238" s="51"/>
      <c r="Y238" s="51"/>
      <c r="Z238" s="51"/>
      <c r="AA238" s="51"/>
      <c r="AB238" s="51"/>
      <c r="AC238" s="51"/>
      <c r="AD238" s="51"/>
      <c r="AE238" s="51"/>
      <c r="AF238" s="51"/>
      <c r="AG238" s="51"/>
      <c r="AH238" s="51"/>
      <c r="AI238" s="51"/>
      <c r="AJ238" s="51"/>
      <c r="AK238" s="51"/>
      <c r="AL238" s="51"/>
      <c r="AM238" s="51"/>
      <c r="AN238" s="51"/>
      <c r="AO238" s="51"/>
      <c r="AP238" s="51"/>
      <c r="AQ238" s="51"/>
      <c r="AR238" s="51"/>
      <c r="AS238" s="51"/>
      <c r="AT238" s="51"/>
      <c r="AU238" s="51"/>
      <c r="AV238" s="51"/>
      <c r="AW238" s="51"/>
      <c r="AX238" s="51"/>
      <c r="AY238" s="51"/>
      <c r="AZ238" s="51"/>
      <c r="BA238" s="51"/>
      <c r="BB238" s="51"/>
      <c r="BC238" s="51"/>
      <c r="BD238" s="51"/>
      <c r="BE238" s="51"/>
      <c r="BF238" s="51"/>
    </row>
    <row r="239" spans="1:58" ht="18" customHeight="1" x14ac:dyDescent="0.2">
      <c r="A239" s="51"/>
      <c r="B239" s="51"/>
      <c r="C239" s="51"/>
      <c r="D239" s="51"/>
      <c r="E239" s="51"/>
      <c r="F239" s="51"/>
      <c r="G239" s="51"/>
      <c r="H239" s="51"/>
      <c r="I239" s="51"/>
      <c r="J239" s="51"/>
      <c r="K239" s="51"/>
      <c r="L239" s="51"/>
      <c r="M239" s="51"/>
      <c r="N239" s="51"/>
      <c r="O239" s="51"/>
      <c r="P239" s="51"/>
      <c r="Q239" s="51"/>
      <c r="R239" s="51"/>
      <c r="S239" s="51"/>
      <c r="T239" s="51"/>
      <c r="U239" s="51"/>
      <c r="V239" s="51"/>
      <c r="W239" s="51"/>
      <c r="X239" s="51"/>
      <c r="Y239" s="51"/>
      <c r="Z239" s="51"/>
      <c r="AA239" s="51"/>
      <c r="AB239" s="51"/>
      <c r="AC239" s="51"/>
      <c r="AD239" s="51"/>
      <c r="AE239" s="51"/>
      <c r="AF239" s="51"/>
      <c r="AG239" s="51"/>
      <c r="AH239" s="51"/>
      <c r="AI239" s="51"/>
      <c r="AJ239" s="51"/>
      <c r="AK239" s="51"/>
      <c r="AL239" s="51"/>
      <c r="AM239" s="51"/>
      <c r="AN239" s="51"/>
      <c r="AO239" s="51"/>
      <c r="AP239" s="51"/>
      <c r="AQ239" s="51"/>
      <c r="AR239" s="51"/>
      <c r="AS239" s="51"/>
      <c r="AT239" s="51"/>
      <c r="AU239" s="51"/>
      <c r="AV239" s="51"/>
      <c r="AW239" s="51"/>
      <c r="AX239" s="51"/>
      <c r="AY239" s="51"/>
      <c r="AZ239" s="51"/>
      <c r="BA239" s="51"/>
      <c r="BB239" s="51"/>
      <c r="BC239" s="51"/>
      <c r="BD239" s="51"/>
      <c r="BE239" s="51"/>
      <c r="BF239" s="51"/>
    </row>
    <row r="240" spans="1:58" ht="18" customHeight="1" x14ac:dyDescent="0.2">
      <c r="A240" s="51"/>
      <c r="B240" s="51"/>
      <c r="C240" s="51"/>
      <c r="D240" s="51"/>
      <c r="E240" s="51"/>
      <c r="F240" s="51"/>
      <c r="G240" s="51"/>
      <c r="H240" s="51"/>
      <c r="I240" s="51"/>
      <c r="J240" s="51"/>
      <c r="K240" s="51"/>
      <c r="L240" s="51"/>
      <c r="M240" s="51"/>
      <c r="N240" s="51"/>
      <c r="O240" s="51"/>
      <c r="P240" s="51"/>
      <c r="Q240" s="51"/>
      <c r="R240" s="51"/>
      <c r="S240" s="51"/>
      <c r="T240" s="51"/>
      <c r="U240" s="51"/>
      <c r="V240" s="51"/>
      <c r="W240" s="51"/>
      <c r="X240" s="51"/>
      <c r="Y240" s="51"/>
      <c r="Z240" s="51"/>
      <c r="AA240" s="51"/>
      <c r="AB240" s="51"/>
      <c r="AC240" s="51"/>
      <c r="AD240" s="51"/>
      <c r="AE240" s="51"/>
      <c r="AF240" s="51"/>
      <c r="AG240" s="51"/>
      <c r="AH240" s="51"/>
      <c r="AI240" s="51"/>
      <c r="AJ240" s="51"/>
      <c r="AK240" s="51"/>
      <c r="AL240" s="51"/>
      <c r="AM240" s="51"/>
      <c r="AN240" s="51"/>
      <c r="AO240" s="51"/>
      <c r="AP240" s="51"/>
      <c r="AQ240" s="51"/>
      <c r="AR240" s="51"/>
      <c r="AS240" s="51"/>
      <c r="AT240" s="51"/>
      <c r="AU240" s="51"/>
      <c r="AV240" s="51"/>
      <c r="AW240" s="51"/>
      <c r="AX240" s="51"/>
      <c r="AY240" s="51"/>
      <c r="AZ240" s="51"/>
      <c r="BA240" s="51"/>
      <c r="BB240" s="51"/>
      <c r="BC240" s="51"/>
      <c r="BD240" s="51"/>
      <c r="BE240" s="51"/>
      <c r="BF240" s="51"/>
    </row>
    <row r="241" spans="1:58" ht="18" customHeight="1" x14ac:dyDescent="0.2">
      <c r="A241" s="51"/>
      <c r="B241" s="51"/>
      <c r="C241" s="51"/>
      <c r="D241" s="51"/>
      <c r="E241" s="51"/>
      <c r="F241" s="51"/>
      <c r="G241" s="51"/>
      <c r="H241" s="51"/>
      <c r="I241" s="51"/>
      <c r="J241" s="51"/>
      <c r="K241" s="51"/>
      <c r="L241" s="51"/>
      <c r="M241" s="51"/>
      <c r="N241" s="51"/>
      <c r="O241" s="51"/>
      <c r="P241" s="51"/>
      <c r="Q241" s="51"/>
      <c r="R241" s="51"/>
      <c r="S241" s="51"/>
      <c r="T241" s="51"/>
      <c r="U241" s="51"/>
      <c r="V241" s="51"/>
      <c r="W241" s="51"/>
      <c r="X241" s="51"/>
      <c r="Y241" s="51"/>
      <c r="Z241" s="51"/>
      <c r="AA241" s="51"/>
      <c r="AB241" s="51"/>
      <c r="AC241" s="51"/>
      <c r="AD241" s="51"/>
      <c r="AE241" s="51"/>
      <c r="AF241" s="51"/>
      <c r="AG241" s="51"/>
      <c r="AH241" s="51"/>
      <c r="AI241" s="51"/>
      <c r="AJ241" s="51"/>
      <c r="AK241" s="51"/>
      <c r="AL241" s="51"/>
      <c r="AM241" s="51"/>
      <c r="AN241" s="51"/>
      <c r="AO241" s="51"/>
      <c r="AP241" s="51"/>
      <c r="AQ241" s="51"/>
      <c r="AR241" s="51"/>
      <c r="AS241" s="51"/>
      <c r="AT241" s="51"/>
      <c r="AU241" s="51"/>
      <c r="AV241" s="51"/>
      <c r="AW241" s="51"/>
      <c r="AX241" s="51"/>
      <c r="AY241" s="51"/>
      <c r="AZ241" s="51"/>
      <c r="BA241" s="51"/>
      <c r="BB241" s="51"/>
      <c r="BC241" s="51"/>
      <c r="BD241" s="51"/>
      <c r="BE241" s="51"/>
      <c r="BF241" s="51"/>
    </row>
    <row r="242" spans="1:58" ht="18" customHeight="1" x14ac:dyDescent="0.2">
      <c r="A242" s="51"/>
      <c r="B242" s="51"/>
      <c r="C242" s="51"/>
      <c r="D242" s="51"/>
      <c r="E242" s="51"/>
      <c r="F242" s="51"/>
      <c r="G242" s="51"/>
      <c r="H242" s="51"/>
      <c r="I242" s="51"/>
      <c r="J242" s="51"/>
      <c r="K242" s="51"/>
      <c r="L242" s="51"/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/>
      <c r="AC242" s="51"/>
      <c r="AD242" s="51"/>
      <c r="AE242" s="51"/>
      <c r="AF242" s="51"/>
      <c r="AG242" s="51"/>
      <c r="AH242" s="51"/>
      <c r="AI242" s="51"/>
      <c r="AJ242" s="51"/>
      <c r="AK242" s="51"/>
      <c r="AL242" s="51"/>
      <c r="AM242" s="51"/>
      <c r="AN242" s="51"/>
      <c r="AO242" s="51"/>
      <c r="AP242" s="51"/>
      <c r="AQ242" s="51"/>
      <c r="AR242" s="51"/>
      <c r="AS242" s="51"/>
      <c r="AT242" s="51"/>
      <c r="AU242" s="51"/>
      <c r="AV242" s="51"/>
      <c r="AW242" s="51"/>
      <c r="AX242" s="51"/>
      <c r="AY242" s="51"/>
      <c r="AZ242" s="51"/>
      <c r="BA242" s="51"/>
      <c r="BB242" s="51"/>
      <c r="BC242" s="51"/>
      <c r="BD242" s="51"/>
      <c r="BE242" s="51"/>
      <c r="BF242" s="51"/>
    </row>
    <row r="243" spans="1:58" ht="18" customHeight="1" x14ac:dyDescent="0.2">
      <c r="A243" s="51"/>
      <c r="B243" s="51"/>
      <c r="C243" s="51"/>
      <c r="D243" s="51"/>
      <c r="E243" s="51"/>
      <c r="F243" s="51"/>
      <c r="G243" s="51"/>
      <c r="H243" s="51"/>
      <c r="I243" s="51"/>
      <c r="J243" s="51"/>
      <c r="K243" s="51"/>
      <c r="L243" s="51"/>
      <c r="M243" s="51"/>
      <c r="N243" s="51"/>
      <c r="O243" s="51"/>
      <c r="P243" s="51"/>
      <c r="Q243" s="51"/>
      <c r="R243" s="51"/>
      <c r="S243" s="51"/>
      <c r="T243" s="51"/>
      <c r="U243" s="51"/>
      <c r="V243" s="51"/>
      <c r="W243" s="51"/>
      <c r="X243" s="51"/>
      <c r="Y243" s="51"/>
      <c r="Z243" s="51"/>
      <c r="AA243" s="51"/>
      <c r="AB243" s="51"/>
      <c r="AC243" s="51"/>
      <c r="AD243" s="51"/>
      <c r="AE243" s="51"/>
      <c r="AF243" s="51"/>
      <c r="AG243" s="51"/>
      <c r="AH243" s="51"/>
      <c r="AI243" s="51"/>
      <c r="AJ243" s="51"/>
      <c r="AK243" s="51"/>
      <c r="AL243" s="51"/>
      <c r="AM243" s="51"/>
      <c r="AN243" s="51"/>
      <c r="AO243" s="51"/>
      <c r="AP243" s="51"/>
      <c r="AQ243" s="51"/>
      <c r="AR243" s="51"/>
      <c r="AS243" s="51"/>
      <c r="AT243" s="51"/>
      <c r="AU243" s="51"/>
      <c r="AV243" s="51"/>
      <c r="AW243" s="51"/>
      <c r="AX243" s="51"/>
      <c r="AY243" s="51"/>
      <c r="AZ243" s="51"/>
      <c r="BA243" s="51"/>
      <c r="BB243" s="51"/>
      <c r="BC243" s="51"/>
      <c r="BD243" s="51"/>
      <c r="BE243" s="51"/>
      <c r="BF243" s="51"/>
    </row>
    <row r="244" spans="1:58" ht="18" customHeight="1" x14ac:dyDescent="0.2">
      <c r="A244" s="51"/>
      <c r="B244" s="51"/>
      <c r="C244" s="51"/>
      <c r="D244" s="51"/>
      <c r="E244" s="51"/>
      <c r="F244" s="51"/>
      <c r="G244" s="51"/>
      <c r="H244" s="51"/>
      <c r="I244" s="51"/>
      <c r="J244" s="51"/>
      <c r="K244" s="51"/>
      <c r="L244" s="51"/>
      <c r="M244" s="51"/>
      <c r="N244" s="51"/>
      <c r="O244" s="51"/>
      <c r="P244" s="51"/>
      <c r="Q244" s="51"/>
      <c r="R244" s="51"/>
      <c r="S244" s="51"/>
      <c r="T244" s="51"/>
      <c r="U244" s="51"/>
      <c r="V244" s="51"/>
      <c r="W244" s="51"/>
      <c r="X244" s="51"/>
      <c r="Y244" s="51"/>
      <c r="Z244" s="51"/>
      <c r="AA244" s="51"/>
      <c r="AB244" s="51"/>
      <c r="AC244" s="51"/>
      <c r="AD244" s="51"/>
      <c r="AE244" s="51"/>
      <c r="AF244" s="51"/>
      <c r="AG244" s="51"/>
      <c r="AH244" s="51"/>
      <c r="AI244" s="51"/>
      <c r="AJ244" s="51"/>
      <c r="AK244" s="51"/>
      <c r="AL244" s="51"/>
      <c r="AM244" s="51"/>
      <c r="AN244" s="51"/>
      <c r="AO244" s="51"/>
      <c r="AP244" s="51"/>
      <c r="AQ244" s="51"/>
      <c r="AR244" s="51"/>
      <c r="AS244" s="51"/>
      <c r="AT244" s="51"/>
      <c r="AU244" s="51"/>
      <c r="AV244" s="51"/>
      <c r="AW244" s="51"/>
      <c r="AX244" s="51"/>
      <c r="AY244" s="51"/>
      <c r="AZ244" s="51"/>
      <c r="BA244" s="51"/>
      <c r="BB244" s="51"/>
      <c r="BC244" s="51"/>
      <c r="BD244" s="51"/>
      <c r="BE244" s="51"/>
      <c r="BF244" s="51"/>
    </row>
    <row r="245" spans="1:58" ht="18" customHeight="1" x14ac:dyDescent="0.2">
      <c r="A245" s="51"/>
      <c r="B245" s="51"/>
      <c r="C245" s="51"/>
      <c r="D245" s="51"/>
      <c r="E245" s="51"/>
      <c r="F245" s="51"/>
      <c r="G245" s="51"/>
      <c r="H245" s="51"/>
      <c r="I245" s="51"/>
      <c r="J245" s="51"/>
      <c r="K245" s="51"/>
      <c r="L245" s="51"/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1"/>
      <c r="AB245" s="51"/>
      <c r="AC245" s="51"/>
      <c r="AD245" s="51"/>
      <c r="AE245" s="51"/>
      <c r="AF245" s="51"/>
      <c r="AG245" s="51"/>
      <c r="AH245" s="51"/>
      <c r="AI245" s="51"/>
      <c r="AJ245" s="51"/>
      <c r="AK245" s="51"/>
      <c r="AL245" s="51"/>
      <c r="AM245" s="51"/>
      <c r="AN245" s="51"/>
      <c r="AO245" s="51"/>
      <c r="AP245" s="51"/>
      <c r="AQ245" s="51"/>
      <c r="AR245" s="51"/>
      <c r="AS245" s="51"/>
      <c r="AT245" s="51"/>
      <c r="AU245" s="51"/>
      <c r="AV245" s="51"/>
      <c r="AW245" s="51"/>
      <c r="AX245" s="51"/>
      <c r="AY245" s="51"/>
      <c r="AZ245" s="51"/>
      <c r="BA245" s="51"/>
      <c r="BB245" s="51"/>
      <c r="BC245" s="51"/>
      <c r="BD245" s="51"/>
      <c r="BE245" s="51"/>
      <c r="BF245" s="51"/>
    </row>
    <row r="246" spans="1:58" ht="18" customHeight="1" x14ac:dyDescent="0.2">
      <c r="A246" s="51"/>
      <c r="B246" s="51"/>
      <c r="C246" s="51"/>
      <c r="D246" s="51"/>
      <c r="E246" s="51"/>
      <c r="F246" s="51"/>
      <c r="G246" s="51"/>
      <c r="H246" s="51"/>
      <c r="I246" s="51"/>
      <c r="J246" s="51"/>
      <c r="K246" s="51"/>
      <c r="L246" s="51"/>
      <c r="M246" s="51"/>
      <c r="N246" s="51"/>
      <c r="O246" s="51"/>
      <c r="P246" s="51"/>
      <c r="Q246" s="51"/>
      <c r="R246" s="51"/>
      <c r="S246" s="51"/>
      <c r="T246" s="51"/>
      <c r="U246" s="51"/>
      <c r="V246" s="51"/>
      <c r="W246" s="51"/>
      <c r="X246" s="51"/>
      <c r="Y246" s="51"/>
      <c r="Z246" s="51"/>
      <c r="AA246" s="51"/>
      <c r="AB246" s="51"/>
      <c r="AC246" s="51"/>
      <c r="AD246" s="51"/>
      <c r="AE246" s="51"/>
      <c r="AF246" s="51"/>
      <c r="AG246" s="51"/>
      <c r="AH246" s="51"/>
      <c r="AI246" s="51"/>
      <c r="AJ246" s="51"/>
      <c r="AK246" s="51"/>
      <c r="AL246" s="51"/>
      <c r="AM246" s="51"/>
      <c r="AN246" s="51"/>
      <c r="AO246" s="51"/>
      <c r="AP246" s="51"/>
      <c r="AQ246" s="51"/>
      <c r="AR246" s="51"/>
      <c r="AS246" s="51"/>
      <c r="AT246" s="51"/>
      <c r="AU246" s="51"/>
      <c r="AV246" s="51"/>
      <c r="AW246" s="51"/>
      <c r="AX246" s="51"/>
      <c r="AY246" s="51"/>
      <c r="AZ246" s="51"/>
      <c r="BA246" s="51"/>
      <c r="BB246" s="51"/>
      <c r="BC246" s="51"/>
      <c r="BD246" s="51"/>
      <c r="BE246" s="51"/>
      <c r="BF246" s="51"/>
    </row>
    <row r="247" spans="1:58" ht="18" customHeight="1" x14ac:dyDescent="0.2">
      <c r="A247" s="51"/>
      <c r="B247" s="51"/>
      <c r="C247" s="51"/>
      <c r="D247" s="51"/>
      <c r="E247" s="51"/>
      <c r="F247" s="51"/>
      <c r="G247" s="51"/>
      <c r="H247" s="51"/>
      <c r="I247" s="51"/>
      <c r="J247" s="51"/>
      <c r="K247" s="51"/>
      <c r="L247" s="51"/>
      <c r="M247" s="51"/>
      <c r="N247" s="51"/>
      <c r="O247" s="51"/>
      <c r="P247" s="51"/>
      <c r="Q247" s="51"/>
      <c r="R247" s="51"/>
      <c r="S247" s="51"/>
      <c r="T247" s="51"/>
      <c r="U247" s="51"/>
      <c r="V247" s="51"/>
      <c r="W247" s="51"/>
      <c r="X247" s="51"/>
      <c r="Y247" s="51"/>
      <c r="Z247" s="51"/>
      <c r="AA247" s="51"/>
      <c r="AB247" s="51"/>
      <c r="AC247" s="51"/>
      <c r="AD247" s="51"/>
      <c r="AE247" s="51"/>
      <c r="AF247" s="51"/>
      <c r="AG247" s="51"/>
      <c r="AH247" s="51"/>
      <c r="AI247" s="51"/>
      <c r="AJ247" s="51"/>
      <c r="AK247" s="51"/>
      <c r="AL247" s="51"/>
      <c r="AM247" s="51"/>
      <c r="AN247" s="51"/>
      <c r="AO247" s="51"/>
      <c r="AP247" s="51"/>
      <c r="AQ247" s="51"/>
      <c r="AR247" s="51"/>
      <c r="AS247" s="51"/>
      <c r="AT247" s="51"/>
      <c r="AU247" s="51"/>
      <c r="AV247" s="51"/>
      <c r="AW247" s="51"/>
      <c r="AX247" s="51"/>
      <c r="AY247" s="51"/>
      <c r="AZ247" s="51"/>
      <c r="BA247" s="51"/>
      <c r="BB247" s="51"/>
      <c r="BC247" s="51"/>
      <c r="BD247" s="51"/>
      <c r="BE247" s="51"/>
      <c r="BF247" s="51"/>
    </row>
    <row r="248" spans="1:58" ht="18" customHeight="1" x14ac:dyDescent="0.2">
      <c r="A248" s="51"/>
      <c r="B248" s="51"/>
      <c r="C248" s="51"/>
      <c r="D248" s="51"/>
      <c r="E248" s="51"/>
      <c r="F248" s="51"/>
      <c r="G248" s="51"/>
      <c r="H248" s="51"/>
      <c r="I248" s="51"/>
      <c r="J248" s="51"/>
      <c r="K248" s="51"/>
      <c r="L248" s="51"/>
      <c r="M248" s="51"/>
      <c r="N248" s="51"/>
      <c r="O248" s="51"/>
      <c r="P248" s="51"/>
      <c r="Q248" s="51"/>
      <c r="R248" s="51"/>
      <c r="S248" s="51"/>
      <c r="T248" s="51"/>
      <c r="U248" s="51"/>
      <c r="V248" s="51"/>
      <c r="W248" s="51"/>
      <c r="X248" s="51"/>
      <c r="Y248" s="51"/>
      <c r="Z248" s="51"/>
      <c r="AA248" s="51"/>
      <c r="AB248" s="51"/>
      <c r="AC248" s="51"/>
      <c r="AD248" s="51"/>
      <c r="AE248" s="51"/>
      <c r="AF248" s="51"/>
      <c r="AG248" s="51"/>
      <c r="AH248" s="51"/>
      <c r="AI248" s="51"/>
      <c r="AJ248" s="51"/>
      <c r="AK248" s="51"/>
      <c r="AL248" s="51"/>
      <c r="AM248" s="51"/>
      <c r="AN248" s="51"/>
      <c r="AO248" s="51"/>
      <c r="AP248" s="51"/>
      <c r="AQ248" s="51"/>
      <c r="AR248" s="51"/>
      <c r="AS248" s="51"/>
      <c r="AT248" s="51"/>
      <c r="AU248" s="51"/>
      <c r="AV248" s="51"/>
      <c r="AW248" s="51"/>
      <c r="AX248" s="51"/>
      <c r="AY248" s="51"/>
      <c r="AZ248" s="51"/>
      <c r="BA248" s="51"/>
      <c r="BB248" s="51"/>
      <c r="BC248" s="51"/>
      <c r="BD248" s="51"/>
      <c r="BE248" s="51"/>
      <c r="BF248" s="51"/>
    </row>
    <row r="249" spans="1:58" ht="18" customHeight="1" x14ac:dyDescent="0.2">
      <c r="A249" s="51"/>
      <c r="B249" s="51"/>
      <c r="C249" s="51"/>
      <c r="D249" s="51"/>
      <c r="E249" s="51"/>
      <c r="F249" s="51"/>
      <c r="G249" s="51"/>
      <c r="H249" s="51"/>
      <c r="I249" s="51"/>
      <c r="J249" s="51"/>
      <c r="K249" s="51"/>
      <c r="L249" s="51"/>
      <c r="M249" s="51"/>
      <c r="N249" s="51"/>
      <c r="O249" s="51"/>
      <c r="P249" s="51"/>
      <c r="Q249" s="51"/>
      <c r="R249" s="51"/>
      <c r="S249" s="51"/>
      <c r="T249" s="51"/>
      <c r="U249" s="51"/>
      <c r="V249" s="51"/>
      <c r="W249" s="51"/>
      <c r="X249" s="51"/>
      <c r="Y249" s="51"/>
      <c r="Z249" s="51"/>
      <c r="AA249" s="51"/>
      <c r="AB249" s="51"/>
      <c r="AC249" s="51"/>
      <c r="AD249" s="51"/>
      <c r="AE249" s="51"/>
      <c r="AF249" s="51"/>
      <c r="AG249" s="51"/>
      <c r="AH249" s="51"/>
      <c r="AI249" s="51"/>
      <c r="AJ249" s="51"/>
      <c r="AK249" s="51"/>
      <c r="AL249" s="51"/>
      <c r="AM249" s="51"/>
      <c r="AN249" s="51"/>
      <c r="AO249" s="51"/>
      <c r="AP249" s="51"/>
      <c r="AQ249" s="51"/>
      <c r="AR249" s="51"/>
      <c r="AS249" s="51"/>
      <c r="AT249" s="51"/>
      <c r="AU249" s="51"/>
      <c r="AV249" s="51"/>
      <c r="AW249" s="51"/>
      <c r="AX249" s="51"/>
      <c r="AY249" s="51"/>
      <c r="AZ249" s="51"/>
      <c r="BA249" s="51"/>
      <c r="BB249" s="51"/>
      <c r="BC249" s="51"/>
      <c r="BD249" s="51"/>
      <c r="BE249" s="51"/>
      <c r="BF249" s="51"/>
    </row>
    <row r="250" spans="1:58" ht="18" customHeight="1" x14ac:dyDescent="0.2">
      <c r="A250" s="51"/>
      <c r="B250" s="51"/>
      <c r="C250" s="51"/>
      <c r="D250" s="51"/>
      <c r="E250" s="51"/>
      <c r="F250" s="51"/>
      <c r="G250" s="51"/>
      <c r="H250" s="51"/>
      <c r="I250" s="51"/>
      <c r="J250" s="51"/>
      <c r="K250" s="51"/>
      <c r="L250" s="51"/>
      <c r="M250" s="51"/>
      <c r="N250" s="51"/>
      <c r="O250" s="51"/>
      <c r="P250" s="51"/>
      <c r="Q250" s="51"/>
      <c r="R250" s="51"/>
      <c r="S250" s="51"/>
      <c r="T250" s="51"/>
      <c r="U250" s="51"/>
      <c r="V250" s="51"/>
      <c r="W250" s="51"/>
      <c r="X250" s="51"/>
      <c r="Y250" s="51"/>
      <c r="Z250" s="51"/>
      <c r="AA250" s="51"/>
      <c r="AB250" s="51"/>
      <c r="AC250" s="51"/>
      <c r="AD250" s="51"/>
      <c r="AE250" s="51"/>
      <c r="AF250" s="51"/>
      <c r="AG250" s="51"/>
      <c r="AH250" s="51"/>
      <c r="AI250" s="51"/>
      <c r="AJ250" s="51"/>
      <c r="AK250" s="51"/>
      <c r="AL250" s="51"/>
      <c r="AM250" s="51"/>
      <c r="AN250" s="51"/>
      <c r="AO250" s="51"/>
      <c r="AP250" s="51"/>
      <c r="AQ250" s="51"/>
      <c r="AR250" s="51"/>
      <c r="AS250" s="51"/>
      <c r="AT250" s="51"/>
      <c r="AU250" s="51"/>
      <c r="AV250" s="51"/>
      <c r="AW250" s="51"/>
      <c r="AX250" s="51"/>
      <c r="AY250" s="51"/>
      <c r="AZ250" s="51"/>
      <c r="BA250" s="51"/>
      <c r="BB250" s="51"/>
      <c r="BC250" s="51"/>
      <c r="BD250" s="51"/>
      <c r="BE250" s="51"/>
      <c r="BF250" s="51"/>
    </row>
    <row r="251" spans="1:58" ht="18" customHeight="1" x14ac:dyDescent="0.2">
      <c r="A251" s="51"/>
      <c r="B251" s="51"/>
      <c r="C251" s="51"/>
      <c r="D251" s="51"/>
      <c r="E251" s="51"/>
      <c r="F251" s="51"/>
      <c r="G251" s="51"/>
      <c r="H251" s="51"/>
      <c r="I251" s="51"/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  <c r="BC251" s="51"/>
      <c r="BD251" s="51"/>
      <c r="BE251" s="51"/>
      <c r="BF251" s="51"/>
    </row>
    <row r="252" spans="1:58" ht="18" customHeight="1" x14ac:dyDescent="0.2">
      <c r="A252" s="51"/>
      <c r="B252" s="51"/>
      <c r="C252" s="51"/>
      <c r="D252" s="51"/>
      <c r="E252" s="51"/>
      <c r="F252" s="51"/>
      <c r="G252" s="51"/>
      <c r="H252" s="51"/>
      <c r="I252" s="51"/>
      <c r="J252" s="51"/>
      <c r="K252" s="51"/>
      <c r="L252" s="51"/>
      <c r="M252" s="51"/>
      <c r="N252" s="51"/>
      <c r="O252" s="51"/>
      <c r="P252" s="51"/>
      <c r="Q252" s="51"/>
      <c r="R252" s="51"/>
      <c r="S252" s="51"/>
      <c r="T252" s="51"/>
      <c r="U252" s="51"/>
      <c r="V252" s="51"/>
      <c r="W252" s="51"/>
      <c r="X252" s="51"/>
      <c r="Y252" s="51"/>
      <c r="Z252" s="51"/>
      <c r="AA252" s="51"/>
      <c r="AB252" s="51"/>
      <c r="AC252" s="51"/>
      <c r="AD252" s="51"/>
      <c r="AE252" s="51"/>
      <c r="AF252" s="51"/>
      <c r="AG252" s="51"/>
      <c r="AH252" s="51"/>
      <c r="AI252" s="51"/>
      <c r="AJ252" s="51"/>
      <c r="AK252" s="51"/>
      <c r="AL252" s="51"/>
      <c r="AM252" s="51"/>
      <c r="AN252" s="51"/>
      <c r="AO252" s="51"/>
      <c r="AP252" s="51"/>
      <c r="AQ252" s="51"/>
      <c r="AR252" s="51"/>
      <c r="AS252" s="51"/>
      <c r="AT252" s="51"/>
      <c r="AU252" s="51"/>
      <c r="AV252" s="51"/>
      <c r="AW252" s="51"/>
      <c r="AX252" s="51"/>
      <c r="AY252" s="51"/>
      <c r="AZ252" s="51"/>
      <c r="BA252" s="51"/>
      <c r="BB252" s="51"/>
      <c r="BC252" s="51"/>
      <c r="BD252" s="51"/>
      <c r="BE252" s="51"/>
      <c r="BF252" s="51"/>
    </row>
    <row r="253" spans="1:58" ht="18" customHeight="1" x14ac:dyDescent="0.2">
      <c r="A253" s="51"/>
      <c r="B253" s="51"/>
      <c r="C253" s="51"/>
      <c r="D253" s="51"/>
      <c r="E253" s="51"/>
      <c r="F253" s="51"/>
      <c r="G253" s="51"/>
      <c r="H253" s="51"/>
      <c r="I253" s="51"/>
      <c r="J253" s="51"/>
      <c r="K253" s="51"/>
      <c r="L253" s="51"/>
      <c r="M253" s="51"/>
      <c r="N253" s="51"/>
      <c r="O253" s="51"/>
      <c r="P253" s="51"/>
      <c r="Q253" s="51"/>
      <c r="R253" s="51"/>
      <c r="S253" s="51"/>
      <c r="T253" s="51"/>
      <c r="U253" s="51"/>
      <c r="V253" s="51"/>
      <c r="W253" s="51"/>
      <c r="X253" s="51"/>
      <c r="Y253" s="51"/>
      <c r="Z253" s="51"/>
      <c r="AA253" s="51"/>
      <c r="AB253" s="51"/>
      <c r="AC253" s="51"/>
      <c r="AD253" s="51"/>
      <c r="AE253" s="51"/>
      <c r="AF253" s="51"/>
      <c r="AG253" s="51"/>
      <c r="AH253" s="51"/>
      <c r="AI253" s="51"/>
      <c r="AJ253" s="51"/>
      <c r="AK253" s="51"/>
      <c r="AL253" s="51"/>
      <c r="AM253" s="51"/>
      <c r="AN253" s="51"/>
      <c r="AO253" s="51"/>
      <c r="AP253" s="51"/>
      <c r="AQ253" s="51"/>
      <c r="AR253" s="51"/>
      <c r="AS253" s="51"/>
      <c r="AT253" s="51"/>
      <c r="AU253" s="51"/>
      <c r="AV253" s="51"/>
      <c r="AW253" s="51"/>
      <c r="AX253" s="51"/>
      <c r="AY253" s="51"/>
      <c r="AZ253" s="51"/>
      <c r="BA253" s="51"/>
      <c r="BB253" s="51"/>
      <c r="BC253" s="51"/>
      <c r="BD253" s="51"/>
      <c r="BE253" s="51"/>
      <c r="BF253" s="51"/>
    </row>
    <row r="254" spans="1:58" ht="18" customHeight="1" x14ac:dyDescent="0.2">
      <c r="A254" s="51"/>
      <c r="B254" s="51"/>
      <c r="C254" s="51"/>
      <c r="D254" s="51"/>
      <c r="E254" s="51"/>
      <c r="F254" s="51"/>
      <c r="G254" s="51"/>
      <c r="H254" s="51"/>
      <c r="I254" s="51"/>
      <c r="J254" s="51"/>
      <c r="K254" s="51"/>
      <c r="L254" s="51"/>
      <c r="M254" s="51"/>
      <c r="N254" s="51"/>
      <c r="O254" s="51"/>
      <c r="P254" s="51"/>
      <c r="Q254" s="51"/>
      <c r="R254" s="51"/>
      <c r="S254" s="51"/>
      <c r="T254" s="51"/>
      <c r="U254" s="51"/>
      <c r="V254" s="51"/>
      <c r="W254" s="51"/>
      <c r="X254" s="51"/>
      <c r="Y254" s="51"/>
      <c r="Z254" s="51"/>
      <c r="AA254" s="51"/>
      <c r="AB254" s="51"/>
      <c r="AC254" s="51"/>
      <c r="AD254" s="51"/>
      <c r="AE254" s="51"/>
      <c r="AF254" s="51"/>
      <c r="AG254" s="51"/>
      <c r="AH254" s="51"/>
      <c r="AI254" s="51"/>
      <c r="AJ254" s="51"/>
      <c r="AK254" s="51"/>
      <c r="AL254" s="51"/>
      <c r="AM254" s="51"/>
      <c r="AN254" s="51"/>
      <c r="AO254" s="51"/>
      <c r="AP254" s="51"/>
      <c r="AQ254" s="51"/>
      <c r="AR254" s="51"/>
      <c r="AS254" s="51"/>
      <c r="AT254" s="51"/>
      <c r="AU254" s="51"/>
      <c r="AV254" s="51"/>
      <c r="AW254" s="51"/>
      <c r="AX254" s="51"/>
      <c r="AY254" s="51"/>
      <c r="AZ254" s="51"/>
      <c r="BA254" s="51"/>
      <c r="BB254" s="51"/>
      <c r="BC254" s="51"/>
      <c r="BD254" s="51"/>
      <c r="BE254" s="51"/>
      <c r="BF254" s="51"/>
    </row>
    <row r="255" spans="1:58" ht="18" customHeight="1" x14ac:dyDescent="0.2">
      <c r="A255" s="51"/>
      <c r="B255" s="51"/>
      <c r="C255" s="51"/>
      <c r="D255" s="51"/>
      <c r="E255" s="51"/>
      <c r="F255" s="51"/>
      <c r="G255" s="51"/>
      <c r="H255" s="51"/>
      <c r="I255" s="51"/>
      <c r="J255" s="51"/>
      <c r="K255" s="51"/>
      <c r="L255" s="51"/>
      <c r="M255" s="51"/>
      <c r="N255" s="51"/>
      <c r="O255" s="51"/>
      <c r="P255" s="51"/>
      <c r="Q255" s="51"/>
      <c r="R255" s="51"/>
      <c r="S255" s="51"/>
      <c r="T255" s="51"/>
      <c r="U255" s="51"/>
      <c r="V255" s="51"/>
      <c r="W255" s="51"/>
      <c r="X255" s="51"/>
      <c r="Y255" s="51"/>
      <c r="Z255" s="51"/>
      <c r="AA255" s="51"/>
      <c r="AB255" s="51"/>
      <c r="AC255" s="51"/>
      <c r="AD255" s="51"/>
      <c r="AE255" s="51"/>
      <c r="AF255" s="51"/>
      <c r="AG255" s="51"/>
      <c r="AH255" s="51"/>
      <c r="AI255" s="51"/>
      <c r="AJ255" s="51"/>
      <c r="AK255" s="51"/>
      <c r="AL255" s="51"/>
      <c r="AM255" s="51"/>
      <c r="AN255" s="51"/>
      <c r="AO255" s="51"/>
      <c r="AP255" s="51"/>
      <c r="AQ255" s="51"/>
      <c r="AR255" s="51"/>
      <c r="AS255" s="51"/>
      <c r="AT255" s="51"/>
      <c r="AU255" s="51"/>
      <c r="AV255" s="51"/>
      <c r="AW255" s="51"/>
      <c r="AX255" s="51"/>
      <c r="AY255" s="51"/>
      <c r="AZ255" s="51"/>
      <c r="BA255" s="51"/>
      <c r="BB255" s="51"/>
      <c r="BC255" s="51"/>
      <c r="BD255" s="51"/>
      <c r="BE255" s="51"/>
      <c r="BF255" s="51"/>
    </row>
    <row r="256" spans="1:58" ht="18" customHeight="1" x14ac:dyDescent="0.2">
      <c r="A256" s="51"/>
      <c r="B256" s="51"/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  <c r="S256" s="51"/>
      <c r="T256" s="51"/>
      <c r="U256" s="51"/>
      <c r="V256" s="51"/>
      <c r="W256" s="51"/>
      <c r="X256" s="51"/>
      <c r="Y256" s="51"/>
      <c r="Z256" s="51"/>
      <c r="AA256" s="51"/>
      <c r="AB256" s="51"/>
      <c r="AC256" s="51"/>
      <c r="AD256" s="51"/>
      <c r="AE256" s="51"/>
      <c r="AF256" s="51"/>
      <c r="AG256" s="51"/>
      <c r="AH256" s="51"/>
      <c r="AI256" s="51"/>
      <c r="AJ256" s="51"/>
      <c r="AK256" s="51"/>
      <c r="AL256" s="51"/>
      <c r="AM256" s="51"/>
      <c r="AN256" s="51"/>
      <c r="AO256" s="51"/>
      <c r="AP256" s="51"/>
      <c r="AQ256" s="51"/>
      <c r="AR256" s="51"/>
      <c r="AS256" s="51"/>
      <c r="AT256" s="51"/>
      <c r="AU256" s="51"/>
      <c r="AV256" s="51"/>
      <c r="AW256" s="51"/>
      <c r="AX256" s="51"/>
      <c r="AY256" s="51"/>
      <c r="AZ256" s="51"/>
      <c r="BA256" s="51"/>
      <c r="BB256" s="51"/>
      <c r="BC256" s="51"/>
      <c r="BD256" s="51"/>
      <c r="BE256" s="51"/>
      <c r="BF256" s="51"/>
    </row>
    <row r="257" spans="1:58" ht="18" customHeight="1" x14ac:dyDescent="0.2">
      <c r="A257" s="51"/>
      <c r="B257" s="51"/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  <c r="BC257" s="51"/>
      <c r="BD257" s="51"/>
      <c r="BE257" s="51"/>
      <c r="BF257" s="51"/>
    </row>
    <row r="258" spans="1:58" ht="18" customHeight="1" x14ac:dyDescent="0.2">
      <c r="A258" s="51"/>
      <c r="B258" s="51"/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  <c r="AE258" s="51"/>
      <c r="AF258" s="51"/>
      <c r="AG258" s="51"/>
      <c r="AH258" s="51"/>
      <c r="AI258" s="51"/>
      <c r="AJ258" s="51"/>
      <c r="AK258" s="51"/>
      <c r="AL258" s="51"/>
      <c r="AM258" s="51"/>
      <c r="AN258" s="51"/>
      <c r="AO258" s="51"/>
      <c r="AP258" s="51"/>
      <c r="AQ258" s="51"/>
      <c r="AR258" s="51"/>
      <c r="AS258" s="51"/>
      <c r="AT258" s="51"/>
      <c r="AU258" s="51"/>
      <c r="AV258" s="51"/>
      <c r="AW258" s="51"/>
      <c r="AX258" s="51"/>
      <c r="AY258" s="51"/>
      <c r="AZ258" s="51"/>
      <c r="BA258" s="51"/>
      <c r="BB258" s="51"/>
      <c r="BC258" s="51"/>
      <c r="BD258" s="51"/>
      <c r="BE258" s="51"/>
      <c r="BF258" s="51"/>
    </row>
    <row r="259" spans="1:58" ht="18" customHeight="1" x14ac:dyDescent="0.2">
      <c r="A259" s="51"/>
      <c r="B259" s="51"/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  <c r="T259" s="51"/>
      <c r="U259" s="51"/>
      <c r="V259" s="51"/>
      <c r="W259" s="51"/>
      <c r="X259" s="51"/>
      <c r="Y259" s="51"/>
      <c r="Z259" s="51"/>
      <c r="AA259" s="51"/>
      <c r="AB259" s="51"/>
      <c r="AC259" s="51"/>
      <c r="AD259" s="51"/>
      <c r="AE259" s="51"/>
      <c r="AF259" s="51"/>
      <c r="AG259" s="51"/>
      <c r="AH259" s="51"/>
      <c r="AI259" s="51"/>
      <c r="AJ259" s="51"/>
      <c r="AK259" s="51"/>
      <c r="AL259" s="51"/>
      <c r="AM259" s="51"/>
      <c r="AN259" s="51"/>
      <c r="AO259" s="51"/>
      <c r="AP259" s="51"/>
      <c r="AQ259" s="51"/>
      <c r="AR259" s="51"/>
      <c r="AS259" s="51"/>
      <c r="AT259" s="51"/>
      <c r="AU259" s="51"/>
      <c r="AV259" s="51"/>
      <c r="AW259" s="51"/>
      <c r="AX259" s="51"/>
      <c r="AY259" s="51"/>
      <c r="AZ259" s="51"/>
      <c r="BA259" s="51"/>
      <c r="BB259" s="51"/>
      <c r="BC259" s="51"/>
      <c r="BD259" s="51"/>
      <c r="BE259" s="51"/>
      <c r="BF259" s="51"/>
    </row>
    <row r="260" spans="1:58" ht="18" customHeight="1" x14ac:dyDescent="0.2">
      <c r="A260" s="51"/>
      <c r="B260" s="51"/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  <c r="BC260" s="51"/>
      <c r="BD260" s="51"/>
      <c r="BE260" s="51"/>
      <c r="BF260" s="51"/>
    </row>
    <row r="261" spans="1:58" ht="18" customHeight="1" x14ac:dyDescent="0.2">
      <c r="A261" s="51"/>
      <c r="B261" s="51"/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  <c r="S261" s="51"/>
      <c r="T261" s="51"/>
      <c r="U261" s="51"/>
      <c r="V261" s="51"/>
      <c r="W261" s="51"/>
      <c r="X261" s="51"/>
      <c r="Y261" s="51"/>
      <c r="Z261" s="51"/>
      <c r="AA261" s="51"/>
      <c r="AB261" s="51"/>
      <c r="AC261" s="51"/>
      <c r="AD261" s="51"/>
      <c r="AE261" s="51"/>
      <c r="AF261" s="51"/>
      <c r="AG261" s="51"/>
      <c r="AH261" s="51"/>
      <c r="AI261" s="51"/>
      <c r="AJ261" s="51"/>
      <c r="AK261" s="51"/>
      <c r="AL261" s="51"/>
      <c r="AM261" s="51"/>
      <c r="AN261" s="51"/>
      <c r="AO261" s="51"/>
      <c r="AP261" s="51"/>
      <c r="AQ261" s="51"/>
      <c r="AR261" s="51"/>
      <c r="AS261" s="51"/>
      <c r="AT261" s="51"/>
      <c r="AU261" s="51"/>
      <c r="AV261" s="51"/>
      <c r="AW261" s="51"/>
      <c r="AX261" s="51"/>
      <c r="AY261" s="51"/>
      <c r="AZ261" s="51"/>
      <c r="BA261" s="51"/>
      <c r="BB261" s="51"/>
      <c r="BC261" s="51"/>
      <c r="BD261" s="51"/>
      <c r="BE261" s="51"/>
      <c r="BF261" s="51"/>
    </row>
    <row r="262" spans="1:58" ht="18" customHeight="1" x14ac:dyDescent="0.2">
      <c r="A262" s="51"/>
      <c r="B262" s="51"/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  <c r="S262" s="51"/>
      <c r="T262" s="51"/>
      <c r="U262" s="51"/>
      <c r="V262" s="51"/>
      <c r="W262" s="51"/>
      <c r="X262" s="51"/>
      <c r="Y262" s="51"/>
      <c r="Z262" s="51"/>
      <c r="AA262" s="51"/>
      <c r="AB262" s="51"/>
      <c r="AC262" s="51"/>
      <c r="AD262" s="51"/>
      <c r="AE262" s="51"/>
      <c r="AF262" s="51"/>
      <c r="AG262" s="51"/>
      <c r="AH262" s="51"/>
      <c r="AI262" s="51"/>
      <c r="AJ262" s="51"/>
      <c r="AK262" s="51"/>
      <c r="AL262" s="51"/>
      <c r="AM262" s="51"/>
      <c r="AN262" s="51"/>
      <c r="AO262" s="51"/>
      <c r="AP262" s="51"/>
      <c r="AQ262" s="51"/>
      <c r="AR262" s="51"/>
      <c r="AS262" s="51"/>
      <c r="AT262" s="51"/>
      <c r="AU262" s="51"/>
      <c r="AV262" s="51"/>
      <c r="AW262" s="51"/>
      <c r="AX262" s="51"/>
      <c r="AY262" s="51"/>
      <c r="AZ262" s="51"/>
      <c r="BA262" s="51"/>
      <c r="BB262" s="51"/>
      <c r="BC262" s="51"/>
      <c r="BD262" s="51"/>
      <c r="BE262" s="51"/>
      <c r="BF262" s="51"/>
    </row>
    <row r="263" spans="1:58" ht="18" customHeight="1" x14ac:dyDescent="0.2">
      <c r="A263" s="51"/>
      <c r="B263" s="51"/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  <c r="BC263" s="51"/>
      <c r="BD263" s="51"/>
      <c r="BE263" s="51"/>
      <c r="BF263" s="51"/>
    </row>
    <row r="264" spans="1:58" ht="18" customHeight="1" x14ac:dyDescent="0.2">
      <c r="A264" s="51"/>
      <c r="B264" s="51"/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  <c r="S264" s="51"/>
      <c r="T264" s="51"/>
      <c r="U264" s="51"/>
      <c r="V264" s="51"/>
      <c r="W264" s="51"/>
      <c r="X264" s="51"/>
      <c r="Y264" s="51"/>
      <c r="Z264" s="51"/>
      <c r="AA264" s="51"/>
      <c r="AB264" s="51"/>
      <c r="AC264" s="51"/>
      <c r="AD264" s="51"/>
      <c r="AE264" s="51"/>
      <c r="AF264" s="51"/>
      <c r="AG264" s="51"/>
      <c r="AH264" s="51"/>
      <c r="AI264" s="51"/>
      <c r="AJ264" s="51"/>
      <c r="AK264" s="51"/>
      <c r="AL264" s="51"/>
      <c r="AM264" s="51"/>
      <c r="AN264" s="51"/>
      <c r="AO264" s="51"/>
      <c r="AP264" s="51"/>
      <c r="AQ264" s="51"/>
      <c r="AR264" s="51"/>
      <c r="AS264" s="51"/>
      <c r="AT264" s="51"/>
      <c r="AU264" s="51"/>
      <c r="AV264" s="51"/>
      <c r="AW264" s="51"/>
      <c r="AX264" s="51"/>
      <c r="AY264" s="51"/>
      <c r="AZ264" s="51"/>
      <c r="BA264" s="51"/>
      <c r="BB264" s="51"/>
      <c r="BC264" s="51"/>
      <c r="BD264" s="51"/>
      <c r="BE264" s="51"/>
      <c r="BF264" s="51"/>
    </row>
    <row r="265" spans="1:58" ht="18" customHeight="1" x14ac:dyDescent="0.2">
      <c r="A265" s="51"/>
      <c r="B265" s="51"/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1"/>
      <c r="AB265" s="51"/>
      <c r="AC265" s="51"/>
      <c r="AD265" s="51"/>
      <c r="AE265" s="51"/>
      <c r="AF265" s="51"/>
      <c r="AG265" s="51"/>
      <c r="AH265" s="51"/>
      <c r="AI265" s="51"/>
      <c r="AJ265" s="51"/>
      <c r="AK265" s="51"/>
      <c r="AL265" s="51"/>
      <c r="AM265" s="51"/>
      <c r="AN265" s="51"/>
      <c r="AO265" s="51"/>
      <c r="AP265" s="51"/>
      <c r="AQ265" s="51"/>
      <c r="AR265" s="51"/>
      <c r="AS265" s="51"/>
      <c r="AT265" s="51"/>
      <c r="AU265" s="51"/>
      <c r="AV265" s="51"/>
      <c r="AW265" s="51"/>
      <c r="AX265" s="51"/>
      <c r="AY265" s="51"/>
      <c r="AZ265" s="51"/>
      <c r="BA265" s="51"/>
      <c r="BB265" s="51"/>
      <c r="BC265" s="51"/>
      <c r="BD265" s="51"/>
      <c r="BE265" s="51"/>
      <c r="BF265" s="51"/>
    </row>
    <row r="266" spans="1:58" ht="18" customHeight="1" x14ac:dyDescent="0.2">
      <c r="A266" s="51"/>
      <c r="B266" s="51"/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  <c r="S266" s="51"/>
      <c r="T266" s="51"/>
      <c r="U266" s="51"/>
      <c r="V266" s="51"/>
      <c r="W266" s="51"/>
      <c r="X266" s="51"/>
      <c r="Y266" s="51"/>
      <c r="Z266" s="51"/>
      <c r="AA266" s="51"/>
      <c r="AB266" s="51"/>
      <c r="AC266" s="51"/>
      <c r="AD266" s="51"/>
      <c r="AE266" s="51"/>
      <c r="AF266" s="51"/>
      <c r="AG266" s="51"/>
      <c r="AH266" s="51"/>
      <c r="AI266" s="51"/>
      <c r="AJ266" s="51"/>
      <c r="AK266" s="51"/>
      <c r="AL266" s="51"/>
      <c r="AM266" s="51"/>
      <c r="AN266" s="51"/>
      <c r="AO266" s="51"/>
      <c r="AP266" s="51"/>
      <c r="AQ266" s="51"/>
      <c r="AR266" s="51"/>
      <c r="AS266" s="51"/>
      <c r="AT266" s="51"/>
      <c r="AU266" s="51"/>
      <c r="AV266" s="51"/>
      <c r="AW266" s="51"/>
      <c r="AX266" s="51"/>
      <c r="AY266" s="51"/>
      <c r="AZ266" s="51"/>
      <c r="BA266" s="51"/>
      <c r="BB266" s="51"/>
      <c r="BC266" s="51"/>
      <c r="BD266" s="51"/>
      <c r="BE266" s="51"/>
      <c r="BF266" s="51"/>
    </row>
    <row r="267" spans="1:58" ht="18" customHeight="1" x14ac:dyDescent="0.2">
      <c r="A267" s="51"/>
      <c r="B267" s="51"/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  <c r="S267" s="51"/>
      <c r="T267" s="51"/>
      <c r="U267" s="51"/>
      <c r="V267" s="51"/>
      <c r="W267" s="51"/>
      <c r="X267" s="51"/>
      <c r="Y267" s="51"/>
      <c r="Z267" s="51"/>
      <c r="AA267" s="51"/>
      <c r="AB267" s="51"/>
      <c r="AC267" s="51"/>
      <c r="AD267" s="51"/>
      <c r="AE267" s="51"/>
      <c r="AF267" s="51"/>
      <c r="AG267" s="51"/>
      <c r="AH267" s="51"/>
      <c r="AI267" s="51"/>
      <c r="AJ267" s="51"/>
      <c r="AK267" s="51"/>
      <c r="AL267" s="51"/>
      <c r="AM267" s="51"/>
      <c r="AN267" s="51"/>
      <c r="AO267" s="51"/>
      <c r="AP267" s="51"/>
      <c r="AQ267" s="51"/>
      <c r="AR267" s="51"/>
      <c r="AS267" s="51"/>
      <c r="AT267" s="51"/>
      <c r="AU267" s="51"/>
      <c r="AV267" s="51"/>
      <c r="AW267" s="51"/>
      <c r="AX267" s="51"/>
      <c r="AY267" s="51"/>
      <c r="AZ267" s="51"/>
      <c r="BA267" s="51"/>
      <c r="BB267" s="51"/>
      <c r="BC267" s="51"/>
      <c r="BD267" s="51"/>
      <c r="BE267" s="51"/>
      <c r="BF267" s="51"/>
    </row>
    <row r="268" spans="1:58" ht="18" customHeight="1" x14ac:dyDescent="0.2">
      <c r="A268" s="51"/>
      <c r="B268" s="51"/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  <c r="S268" s="51"/>
      <c r="T268" s="51"/>
      <c r="U268" s="51"/>
      <c r="V268" s="51"/>
      <c r="W268" s="51"/>
      <c r="X268" s="51"/>
      <c r="Y268" s="51"/>
      <c r="Z268" s="51"/>
      <c r="AA268" s="51"/>
      <c r="AB268" s="51"/>
      <c r="AC268" s="51"/>
      <c r="AD268" s="51"/>
      <c r="AE268" s="51"/>
      <c r="AF268" s="51"/>
      <c r="AG268" s="51"/>
      <c r="AH268" s="51"/>
      <c r="AI268" s="51"/>
      <c r="AJ268" s="51"/>
      <c r="AK268" s="51"/>
      <c r="AL268" s="51"/>
      <c r="AM268" s="51"/>
      <c r="AN268" s="51"/>
      <c r="AO268" s="51"/>
      <c r="AP268" s="51"/>
      <c r="AQ268" s="51"/>
      <c r="AR268" s="51"/>
      <c r="AS268" s="51"/>
      <c r="AT268" s="51"/>
      <c r="AU268" s="51"/>
      <c r="AV268" s="51"/>
      <c r="AW268" s="51"/>
      <c r="AX268" s="51"/>
      <c r="AY268" s="51"/>
      <c r="AZ268" s="51"/>
      <c r="BA268" s="51"/>
      <c r="BB268" s="51"/>
      <c r="BC268" s="51"/>
      <c r="BD268" s="51"/>
      <c r="BE268" s="51"/>
      <c r="BF268" s="51"/>
    </row>
    <row r="269" spans="1:58" ht="18" customHeight="1" x14ac:dyDescent="0.2">
      <c r="A269" s="51"/>
      <c r="B269" s="51"/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  <c r="BC269" s="51"/>
      <c r="BD269" s="51"/>
      <c r="BE269" s="51"/>
      <c r="BF269" s="51"/>
    </row>
    <row r="270" spans="1:58" ht="18" customHeight="1" x14ac:dyDescent="0.2">
      <c r="A270" s="51"/>
      <c r="B270" s="51"/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  <c r="S270" s="51"/>
      <c r="T270" s="51"/>
      <c r="U270" s="51"/>
      <c r="V270" s="51"/>
      <c r="W270" s="51"/>
      <c r="X270" s="51"/>
      <c r="Y270" s="51"/>
      <c r="Z270" s="51"/>
      <c r="AA270" s="51"/>
      <c r="AB270" s="51"/>
      <c r="AC270" s="51"/>
      <c r="AD270" s="51"/>
      <c r="AE270" s="51"/>
      <c r="AF270" s="51"/>
      <c r="AG270" s="51"/>
      <c r="AH270" s="51"/>
      <c r="AI270" s="51"/>
      <c r="AJ270" s="51"/>
      <c r="AK270" s="51"/>
      <c r="AL270" s="51"/>
      <c r="AM270" s="51"/>
      <c r="AN270" s="51"/>
      <c r="AO270" s="51"/>
      <c r="AP270" s="51"/>
      <c r="AQ270" s="51"/>
      <c r="AR270" s="51"/>
      <c r="AS270" s="51"/>
      <c r="AT270" s="51"/>
      <c r="AU270" s="51"/>
      <c r="AV270" s="51"/>
      <c r="AW270" s="51"/>
      <c r="AX270" s="51"/>
      <c r="AY270" s="51"/>
      <c r="AZ270" s="51"/>
      <c r="BA270" s="51"/>
      <c r="BB270" s="51"/>
      <c r="BC270" s="51"/>
      <c r="BD270" s="51"/>
      <c r="BE270" s="51"/>
      <c r="BF270" s="51"/>
    </row>
  </sheetData>
  <mergeCells count="216">
    <mergeCell ref="AG27:AH36"/>
    <mergeCell ref="X28:AF28"/>
    <mergeCell ref="X29:AF29"/>
    <mergeCell ref="X30:AF30"/>
    <mergeCell ref="X31:AF31"/>
    <mergeCell ref="X32:AF32"/>
    <mergeCell ref="X33:AF33"/>
    <mergeCell ref="X34:AF34"/>
    <mergeCell ref="C3:D3"/>
    <mergeCell ref="C4:C5"/>
    <mergeCell ref="E3:M3"/>
    <mergeCell ref="E6:M6"/>
    <mergeCell ref="C6:D6"/>
    <mergeCell ref="E4:G4"/>
    <mergeCell ref="H4:M4"/>
    <mergeCell ref="E13:G13"/>
    <mergeCell ref="E14:G14"/>
    <mergeCell ref="C7:D7"/>
    <mergeCell ref="C11:D11"/>
    <mergeCell ref="C8:D8"/>
    <mergeCell ref="E7:M7"/>
    <mergeCell ref="E8:M8"/>
    <mergeCell ref="E9:M9"/>
    <mergeCell ref="E10:M10"/>
    <mergeCell ref="E11:G11"/>
    <mergeCell ref="K11:M11"/>
    <mergeCell ref="I11:J11"/>
    <mergeCell ref="E12:M12"/>
    <mergeCell ref="K13:M13"/>
    <mergeCell ref="K14:M14"/>
    <mergeCell ref="H13:J13"/>
    <mergeCell ref="H14:J14"/>
    <mergeCell ref="E15:G15"/>
    <mergeCell ref="H15:J15"/>
    <mergeCell ref="K15:M15"/>
    <mergeCell ref="C34:D34"/>
    <mergeCell ref="C35:D35"/>
    <mergeCell ref="Q24:S24"/>
    <mergeCell ref="H16:J16"/>
    <mergeCell ref="H17:J17"/>
    <mergeCell ref="H18:J18"/>
    <mergeCell ref="H19:J19"/>
    <mergeCell ref="K16:M16"/>
    <mergeCell ref="K17:M17"/>
    <mergeCell ref="K18:M18"/>
    <mergeCell ref="K19:M19"/>
    <mergeCell ref="N12:N26"/>
    <mergeCell ref="O12:O14"/>
    <mergeCell ref="Q12:S12"/>
    <mergeCell ref="Q13:S13"/>
    <mergeCell ref="Q14:S14"/>
    <mergeCell ref="O15:O18"/>
    <mergeCell ref="Q21:S21"/>
    <mergeCell ref="E16:G16"/>
    <mergeCell ref="E17:G17"/>
    <mergeCell ref="E18:G18"/>
    <mergeCell ref="E19:G19"/>
    <mergeCell ref="Q26:S26"/>
    <mergeCell ref="Q15:S15"/>
    <mergeCell ref="C36:D36"/>
    <mergeCell ref="E32:M32"/>
    <mergeCell ref="E33:M33"/>
    <mergeCell ref="E34:M34"/>
    <mergeCell ref="N27:O36"/>
    <mergeCell ref="C32:D32"/>
    <mergeCell ref="X26:AA26"/>
    <mergeCell ref="AB26:AE26"/>
    <mergeCell ref="AJ26:AL26"/>
    <mergeCell ref="O19:O26"/>
    <mergeCell ref="Q19:S19"/>
    <mergeCell ref="Q20:S20"/>
    <mergeCell ref="X35:AF35"/>
    <mergeCell ref="X36:AF36"/>
    <mergeCell ref="U27:U36"/>
    <mergeCell ref="V27:V31"/>
    <mergeCell ref="V32:W32"/>
    <mergeCell ref="V33:W33"/>
    <mergeCell ref="V34:W34"/>
    <mergeCell ref="V35:W35"/>
    <mergeCell ref="V36:W36"/>
    <mergeCell ref="AI27:AL36"/>
    <mergeCell ref="X27:AF27"/>
    <mergeCell ref="C33:D33"/>
    <mergeCell ref="V20:V26"/>
    <mergeCell ref="X20:AA20"/>
    <mergeCell ref="AB20:AE20"/>
    <mergeCell ref="AF20:AF26"/>
    <mergeCell ref="AJ20:AL20"/>
    <mergeCell ref="X21:AA21"/>
    <mergeCell ref="AJ21:AL21"/>
    <mergeCell ref="X22:AE22"/>
    <mergeCell ref="AJ22:AL22"/>
    <mergeCell ref="X23:AE23"/>
    <mergeCell ref="AJ23:AL23"/>
    <mergeCell ref="X24:AA24"/>
    <mergeCell ref="AB24:AE24"/>
    <mergeCell ref="AJ24:AL24"/>
    <mergeCell ref="X25:AA25"/>
    <mergeCell ref="AB25:AE25"/>
    <mergeCell ref="AJ25:AL25"/>
    <mergeCell ref="X15:Z15"/>
    <mergeCell ref="AA15:AC15"/>
    <mergeCell ref="AD15:AF15"/>
    <mergeCell ref="X19:Z19"/>
    <mergeCell ref="AA19:AC19"/>
    <mergeCell ref="AD19:AF19"/>
    <mergeCell ref="AH19:AH26"/>
    <mergeCell ref="AJ19:AL19"/>
    <mergeCell ref="AJ15:AL15"/>
    <mergeCell ref="X16:Z16"/>
    <mergeCell ref="AA16:AC16"/>
    <mergeCell ref="AD16:AF16"/>
    <mergeCell ref="AJ16:AL16"/>
    <mergeCell ref="X17:Z17"/>
    <mergeCell ref="AA17:AC17"/>
    <mergeCell ref="AD17:AF17"/>
    <mergeCell ref="AJ17:AL17"/>
    <mergeCell ref="AJ18:AL18"/>
    <mergeCell ref="V3:W3"/>
    <mergeCell ref="X3:AF3"/>
    <mergeCell ref="V4:V5"/>
    <mergeCell ref="X4:Z4"/>
    <mergeCell ref="AA4:AF4"/>
    <mergeCell ref="AG4:AG11"/>
    <mergeCell ref="V8:W8"/>
    <mergeCell ref="X8:AF8"/>
    <mergeCell ref="X10:AF10"/>
    <mergeCell ref="V11:W11"/>
    <mergeCell ref="X11:Z11"/>
    <mergeCell ref="AB11:AC11"/>
    <mergeCell ref="AD11:AF11"/>
    <mergeCell ref="V10:W10"/>
    <mergeCell ref="V9:W9"/>
    <mergeCell ref="X9:AF9"/>
    <mergeCell ref="AA13:AC13"/>
    <mergeCell ref="AD13:AF13"/>
    <mergeCell ref="AJ13:AL13"/>
    <mergeCell ref="X14:Z14"/>
    <mergeCell ref="AA14:AC14"/>
    <mergeCell ref="AD14:AF14"/>
    <mergeCell ref="Q7:S7"/>
    <mergeCell ref="Q8:S8"/>
    <mergeCell ref="AJ6:AL6"/>
    <mergeCell ref="V7:W7"/>
    <mergeCell ref="X7:AF7"/>
    <mergeCell ref="AJ7:AL7"/>
    <mergeCell ref="AJ10:AL10"/>
    <mergeCell ref="AJ11:AL11"/>
    <mergeCell ref="AJ8:AL8"/>
    <mergeCell ref="AJ9:AL9"/>
    <mergeCell ref="Q9:S9"/>
    <mergeCell ref="Q10:S10"/>
    <mergeCell ref="AJ14:AL14"/>
    <mergeCell ref="B20:B26"/>
    <mergeCell ref="C20:C26"/>
    <mergeCell ref="E20:H20"/>
    <mergeCell ref="I20:L20"/>
    <mergeCell ref="M20:M26"/>
    <mergeCell ref="E21:H21"/>
    <mergeCell ref="I21:L21"/>
    <mergeCell ref="E22:L22"/>
    <mergeCell ref="E23:L23"/>
    <mergeCell ref="E24:H24"/>
    <mergeCell ref="I24:L24"/>
    <mergeCell ref="E25:H25"/>
    <mergeCell ref="I25:L25"/>
    <mergeCell ref="E26:H26"/>
    <mergeCell ref="I26:L26"/>
    <mergeCell ref="Q23:S23"/>
    <mergeCell ref="U4:U19"/>
    <mergeCell ref="Q11:S11"/>
    <mergeCell ref="AJ4:AL4"/>
    <mergeCell ref="AJ5:AL5"/>
    <mergeCell ref="O4:O7"/>
    <mergeCell ref="AH8:AH11"/>
    <mergeCell ref="AH4:AH7"/>
    <mergeCell ref="AA18:AC18"/>
    <mergeCell ref="AD18:AF18"/>
    <mergeCell ref="V12:W12"/>
    <mergeCell ref="X12:AF12"/>
    <mergeCell ref="AG12:AG26"/>
    <mergeCell ref="AH12:AH14"/>
    <mergeCell ref="O8:O11"/>
    <mergeCell ref="U20:U26"/>
    <mergeCell ref="AB21:AE21"/>
    <mergeCell ref="X18:Z18"/>
    <mergeCell ref="AH15:AH18"/>
    <mergeCell ref="V6:W6"/>
    <mergeCell ref="X6:AF6"/>
    <mergeCell ref="AJ12:AL12"/>
    <mergeCell ref="V13:V19"/>
    <mergeCell ref="X13:Z13"/>
    <mergeCell ref="Q16:S16"/>
    <mergeCell ref="Q17:S17"/>
    <mergeCell ref="Q18:S18"/>
    <mergeCell ref="B27:B36"/>
    <mergeCell ref="C27:C31"/>
    <mergeCell ref="E27:M27"/>
    <mergeCell ref="E28:M28"/>
    <mergeCell ref="E29:M29"/>
    <mergeCell ref="E30:M30"/>
    <mergeCell ref="E31:M31"/>
    <mergeCell ref="Q25:S25"/>
    <mergeCell ref="B4:B19"/>
    <mergeCell ref="C12:D12"/>
    <mergeCell ref="C9:D9"/>
    <mergeCell ref="C10:D10"/>
    <mergeCell ref="C13:C19"/>
    <mergeCell ref="N4:N11"/>
    <mergeCell ref="P27:S36"/>
    <mergeCell ref="E35:M35"/>
    <mergeCell ref="E36:M36"/>
    <mergeCell ref="Q4:S4"/>
    <mergeCell ref="Q5:S5"/>
    <mergeCell ref="Q6:S6"/>
    <mergeCell ref="Q22:S22"/>
  </mergeCells>
  <phoneticPr fontId="1"/>
  <dataValidations count="1">
    <dataValidation type="list" allowBlank="1" showInputMessage="1" showErrorMessage="1" sqref="K11 AD11" xr:uid="{00000000-0002-0000-0100-000000000000}">
      <formula1>"隅肉,突合せ"</formula1>
    </dataValidation>
  </dataValidations>
  <pageMargins left="0.7" right="0.7" top="0.75" bottom="0.75" header="0.3" footer="0.3"/>
  <pageSetup paperSize="9" fitToWidth="0" orientation="landscape" horizontalDpi="4294967292" verticalDpi="4294967292" r:id="rId1"/>
  <colBreaks count="1" manualBreakCount="1">
    <brk id="1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idcolumn1">
                <anchor moveWithCells="1" sizeWithCells="1">
                  <from>
                    <xdr:col>3</xdr:col>
                    <xdr:colOff>213360</xdr:colOff>
                    <xdr:row>37</xdr:row>
                    <xdr:rowOff>22860</xdr:rowOff>
                  </from>
                  <to>
                    <xdr:col>3</xdr:col>
                    <xdr:colOff>1691640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idcolumn2">
                <anchor moveWithCells="1" sizeWithCells="1">
                  <from>
                    <xdr:col>21</xdr:col>
                    <xdr:colOff>259080</xdr:colOff>
                    <xdr:row>36</xdr:row>
                    <xdr:rowOff>175260</xdr:rowOff>
                  </from>
                  <to>
                    <xdr:col>22</xdr:col>
                    <xdr:colOff>1066800</xdr:colOff>
                    <xdr:row>38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情報!$B$4:$B$18</xm:f>
          </x14:formula1>
          <xm:sqref>E6 X6</xm:sqref>
        </x14:dataValidation>
        <x14:dataValidation type="list" allowBlank="1" showInputMessage="1" showErrorMessage="1" xr:uid="{00000000-0002-0000-0100-000002000000}">
          <x14:formula1>
            <xm:f>情報!$C$26:$J$26</xm:f>
          </x14:formula1>
          <xm:sqref>E10 E9:M9 X10 X9:AF9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3:L21"/>
  <sheetViews>
    <sheetView zoomScale="55" zoomScaleNormal="55" workbookViewId="0">
      <selection activeCell="B46" sqref="B46:C46"/>
    </sheetView>
  </sheetViews>
  <sheetFormatPr defaultColWidth="8.59765625" defaultRowHeight="12" x14ac:dyDescent="0.15"/>
  <cols>
    <col min="1" max="2" width="8" style="45" customWidth="1"/>
    <col min="3" max="16384" width="8.59765625" style="45"/>
  </cols>
  <sheetData>
    <row r="3" spans="1:12" x14ac:dyDescent="0.15">
      <c r="A3" s="45" t="s">
        <v>188</v>
      </c>
    </row>
    <row r="4" spans="1:12" x14ac:dyDescent="0.15">
      <c r="C4" s="46"/>
      <c r="D4" s="46"/>
      <c r="E4" s="46"/>
      <c r="F4" s="46"/>
      <c r="H4" s="46"/>
      <c r="I4" s="46"/>
    </row>
    <row r="5" spans="1:12" x14ac:dyDescent="0.15">
      <c r="A5" s="48" t="s">
        <v>189</v>
      </c>
      <c r="B5" s="48" t="s">
        <v>201</v>
      </c>
      <c r="C5" s="48" t="s">
        <v>202</v>
      </c>
      <c r="D5" s="48" t="s">
        <v>190</v>
      </c>
      <c r="E5" s="49" t="s">
        <v>191</v>
      </c>
      <c r="F5" s="49" t="s">
        <v>192</v>
      </c>
      <c r="G5" s="49" t="s">
        <v>193</v>
      </c>
      <c r="H5" s="49" t="s">
        <v>194</v>
      </c>
      <c r="I5" s="49" t="s">
        <v>195</v>
      </c>
      <c r="J5" s="49" t="s">
        <v>196</v>
      </c>
      <c r="K5" s="49" t="s">
        <v>197</v>
      </c>
      <c r="L5" s="49" t="s">
        <v>198</v>
      </c>
    </row>
    <row r="6" spans="1:12" ht="14.4" x14ac:dyDescent="0.2">
      <c r="A6" s="229" t="s">
        <v>203</v>
      </c>
      <c r="B6" s="229" t="s">
        <v>204</v>
      </c>
      <c r="C6" s="50" t="s">
        <v>78</v>
      </c>
      <c r="D6" s="50" t="s">
        <v>199</v>
      </c>
      <c r="E6" s="50" t="s">
        <v>231</v>
      </c>
      <c r="F6" s="50" t="s">
        <v>232</v>
      </c>
      <c r="G6" s="50" t="s">
        <v>233</v>
      </c>
      <c r="H6" s="50" t="s">
        <v>234</v>
      </c>
      <c r="I6" s="50" t="s">
        <v>235</v>
      </c>
      <c r="J6" s="50" t="s">
        <v>236</v>
      </c>
      <c r="K6" s="50" t="s">
        <v>237</v>
      </c>
      <c r="L6" s="50" t="s">
        <v>238</v>
      </c>
    </row>
    <row r="7" spans="1:12" ht="14.4" x14ac:dyDescent="0.2">
      <c r="A7" s="229"/>
      <c r="B7" s="229"/>
      <c r="C7" s="50" t="s">
        <v>79</v>
      </c>
      <c r="D7" s="50" t="s">
        <v>199</v>
      </c>
      <c r="E7" s="50" t="s">
        <v>239</v>
      </c>
      <c r="F7" s="50" t="s">
        <v>232</v>
      </c>
      <c r="G7" s="50" t="s">
        <v>240</v>
      </c>
      <c r="H7" s="50" t="s">
        <v>241</v>
      </c>
      <c r="I7" s="50" t="s">
        <v>242</v>
      </c>
      <c r="J7" s="50" t="s">
        <v>243</v>
      </c>
      <c r="K7" s="50" t="s">
        <v>237</v>
      </c>
      <c r="L7" s="50" t="s">
        <v>238</v>
      </c>
    </row>
    <row r="8" spans="1:12" ht="14.4" x14ac:dyDescent="0.2">
      <c r="A8" s="229" t="s">
        <v>203</v>
      </c>
      <c r="B8" s="229" t="s">
        <v>205</v>
      </c>
      <c r="C8" s="49" t="s">
        <v>78</v>
      </c>
      <c r="D8" s="50" t="s">
        <v>199</v>
      </c>
      <c r="E8" s="50" t="s">
        <v>231</v>
      </c>
      <c r="F8" s="50" t="s">
        <v>244</v>
      </c>
      <c r="G8" s="50" t="s">
        <v>245</v>
      </c>
      <c r="H8" s="50" t="s">
        <v>208</v>
      </c>
      <c r="I8" s="50" t="s">
        <v>222</v>
      </c>
      <c r="J8" s="50" t="s">
        <v>200</v>
      </c>
      <c r="K8" s="50" t="s">
        <v>246</v>
      </c>
      <c r="L8" s="50" t="s">
        <v>247</v>
      </c>
    </row>
    <row r="9" spans="1:12" ht="14.4" x14ac:dyDescent="0.2">
      <c r="A9" s="229"/>
      <c r="B9" s="229"/>
      <c r="C9" s="49" t="s">
        <v>79</v>
      </c>
      <c r="D9" s="50" t="s">
        <v>199</v>
      </c>
      <c r="E9" s="50" t="s">
        <v>231</v>
      </c>
      <c r="F9" s="50" t="s">
        <v>220</v>
      </c>
      <c r="G9" s="50" t="s">
        <v>248</v>
      </c>
      <c r="H9" s="50" t="s">
        <v>249</v>
      </c>
      <c r="I9" s="50" t="s">
        <v>250</v>
      </c>
      <c r="J9" s="50" t="s">
        <v>251</v>
      </c>
      <c r="K9" s="50" t="s">
        <v>246</v>
      </c>
      <c r="L9" s="50" t="s">
        <v>252</v>
      </c>
    </row>
    <row r="10" spans="1:12" ht="14.4" x14ac:dyDescent="0.2">
      <c r="A10" s="229" t="s">
        <v>210</v>
      </c>
      <c r="B10" s="229" t="s">
        <v>204</v>
      </c>
      <c r="C10" s="49" t="s">
        <v>78</v>
      </c>
      <c r="D10" s="50" t="s">
        <v>199</v>
      </c>
      <c r="E10" s="50" t="s">
        <v>255</v>
      </c>
      <c r="F10" s="50" t="s">
        <v>265</v>
      </c>
      <c r="G10" s="50" t="s">
        <v>266</v>
      </c>
      <c r="H10" s="50" t="s">
        <v>267</v>
      </c>
      <c r="I10" s="50" t="s">
        <v>268</v>
      </c>
      <c r="J10" s="50" t="s">
        <v>269</v>
      </c>
      <c r="K10" s="50" t="s">
        <v>259</v>
      </c>
      <c r="L10" s="50" t="s">
        <v>270</v>
      </c>
    </row>
    <row r="11" spans="1:12" ht="14.4" x14ac:dyDescent="0.2">
      <c r="A11" s="229"/>
      <c r="B11" s="229"/>
      <c r="C11" s="49" t="s">
        <v>79</v>
      </c>
      <c r="D11" s="50" t="s">
        <v>199</v>
      </c>
      <c r="E11" s="50" t="s">
        <v>255</v>
      </c>
      <c r="F11" s="50" t="s">
        <v>265</v>
      </c>
      <c r="G11" s="50" t="s">
        <v>271</v>
      </c>
      <c r="H11" s="50" t="s">
        <v>272</v>
      </c>
      <c r="I11" s="50" t="s">
        <v>273</v>
      </c>
      <c r="J11" s="50" t="s">
        <v>274</v>
      </c>
      <c r="K11" s="50" t="s">
        <v>275</v>
      </c>
      <c r="L11" s="50" t="s">
        <v>276</v>
      </c>
    </row>
    <row r="12" spans="1:12" ht="14.4" x14ac:dyDescent="0.2">
      <c r="A12" s="229" t="s">
        <v>211</v>
      </c>
      <c r="B12" s="229" t="s">
        <v>205</v>
      </c>
      <c r="C12" s="49" t="s">
        <v>78</v>
      </c>
      <c r="D12" s="50" t="s">
        <v>199</v>
      </c>
      <c r="E12" s="50" t="s">
        <v>277</v>
      </c>
      <c r="F12" s="50" t="s">
        <v>215</v>
      </c>
      <c r="G12" s="50" t="s">
        <v>206</v>
      </c>
      <c r="H12" s="50" t="s">
        <v>278</v>
      </c>
      <c r="I12" s="50" t="s">
        <v>279</v>
      </c>
      <c r="J12" s="50" t="s">
        <v>279</v>
      </c>
      <c r="K12" s="50" t="s">
        <v>280</v>
      </c>
      <c r="L12" s="50" t="s">
        <v>281</v>
      </c>
    </row>
    <row r="13" spans="1:12" ht="14.4" x14ac:dyDescent="0.2">
      <c r="A13" s="229"/>
      <c r="B13" s="229"/>
      <c r="C13" s="49" t="s">
        <v>79</v>
      </c>
      <c r="D13" s="50" t="s">
        <v>199</v>
      </c>
      <c r="E13" s="50" t="s">
        <v>214</v>
      </c>
      <c r="F13" s="50" t="s">
        <v>265</v>
      </c>
      <c r="G13" s="50" t="s">
        <v>282</v>
      </c>
      <c r="H13" s="50" t="s">
        <v>283</v>
      </c>
      <c r="I13" s="50" t="s">
        <v>284</v>
      </c>
      <c r="J13" s="50" t="s">
        <v>285</v>
      </c>
      <c r="K13" s="50" t="s">
        <v>262</v>
      </c>
      <c r="L13" s="50" t="s">
        <v>286</v>
      </c>
    </row>
    <row r="14" spans="1:12" ht="14.4" x14ac:dyDescent="0.2">
      <c r="A14" s="229" t="s">
        <v>263</v>
      </c>
      <c r="B14" s="229" t="s">
        <v>204</v>
      </c>
      <c r="C14" s="49" t="s">
        <v>78</v>
      </c>
      <c r="D14" s="50" t="s">
        <v>199</v>
      </c>
      <c r="E14" s="50" t="s">
        <v>218</v>
      </c>
      <c r="F14" s="50" t="s">
        <v>287</v>
      </c>
      <c r="G14" s="50" t="s">
        <v>216</v>
      </c>
      <c r="H14" s="50" t="s">
        <v>288</v>
      </c>
      <c r="I14" s="50" t="s">
        <v>289</v>
      </c>
      <c r="J14" s="50" t="s">
        <v>269</v>
      </c>
      <c r="K14" s="50" t="s">
        <v>290</v>
      </c>
      <c r="L14" s="50" t="s">
        <v>291</v>
      </c>
    </row>
    <row r="15" spans="1:12" ht="14.4" x14ac:dyDescent="0.2">
      <c r="A15" s="229"/>
      <c r="B15" s="229"/>
      <c r="C15" s="49" t="s">
        <v>79</v>
      </c>
      <c r="D15" s="50" t="s">
        <v>199</v>
      </c>
      <c r="E15" s="50" t="s">
        <v>218</v>
      </c>
      <c r="F15" s="50" t="s">
        <v>287</v>
      </c>
      <c r="G15" s="50" t="s">
        <v>292</v>
      </c>
      <c r="H15" s="50" t="s">
        <v>293</v>
      </c>
      <c r="I15" s="50" t="s">
        <v>294</v>
      </c>
      <c r="J15" s="50" t="s">
        <v>295</v>
      </c>
      <c r="K15" s="50" t="s">
        <v>296</v>
      </c>
      <c r="L15" s="50" t="s">
        <v>297</v>
      </c>
    </row>
    <row r="16" spans="1:12" ht="14.4" x14ac:dyDescent="0.2">
      <c r="A16" s="229" t="s">
        <v>264</v>
      </c>
      <c r="B16" s="229" t="s">
        <v>205</v>
      </c>
      <c r="C16" s="49" t="s">
        <v>78</v>
      </c>
      <c r="D16" s="50" t="s">
        <v>199</v>
      </c>
      <c r="E16" s="50" t="s">
        <v>219</v>
      </c>
      <c r="F16" s="50" t="s">
        <v>220</v>
      </c>
      <c r="G16" s="50" t="s">
        <v>298</v>
      </c>
      <c r="H16" s="50" t="s">
        <v>207</v>
      </c>
      <c r="I16" s="50" t="s">
        <v>217</v>
      </c>
      <c r="J16" s="50" t="s">
        <v>222</v>
      </c>
      <c r="K16" s="50" t="s">
        <v>223</v>
      </c>
      <c r="L16" s="50" t="s">
        <v>224</v>
      </c>
    </row>
    <row r="17" spans="1:12" ht="14.4" x14ac:dyDescent="0.2">
      <c r="A17" s="229"/>
      <c r="B17" s="229"/>
      <c r="C17" s="49" t="s">
        <v>79</v>
      </c>
      <c r="D17" s="50" t="s">
        <v>199</v>
      </c>
      <c r="E17" s="50" t="s">
        <v>219</v>
      </c>
      <c r="F17" s="50" t="s">
        <v>220</v>
      </c>
      <c r="G17" s="50" t="s">
        <v>254</v>
      </c>
      <c r="H17" s="50" t="s">
        <v>226</v>
      </c>
      <c r="I17" s="50" t="s">
        <v>227</v>
      </c>
      <c r="J17" s="50" t="s">
        <v>228</v>
      </c>
      <c r="K17" s="50" t="s">
        <v>229</v>
      </c>
      <c r="L17" s="50" t="s">
        <v>230</v>
      </c>
    </row>
    <row r="18" spans="1:12" ht="14.4" x14ac:dyDescent="0.2">
      <c r="A18" s="229" t="s">
        <v>212</v>
      </c>
      <c r="B18" s="229" t="s">
        <v>204</v>
      </c>
      <c r="C18" s="49" t="s">
        <v>78</v>
      </c>
      <c r="D18" s="50" t="s">
        <v>199</v>
      </c>
      <c r="E18" s="50" t="s">
        <v>255</v>
      </c>
      <c r="F18" s="50" t="s">
        <v>287</v>
      </c>
      <c r="G18" s="50" t="s">
        <v>221</v>
      </c>
      <c r="H18" s="50" t="s">
        <v>206</v>
      </c>
      <c r="I18" s="50" t="s">
        <v>267</v>
      </c>
      <c r="J18" s="50" t="s">
        <v>299</v>
      </c>
      <c r="K18" s="50" t="s">
        <v>300</v>
      </c>
      <c r="L18" s="50" t="s">
        <v>301</v>
      </c>
    </row>
    <row r="19" spans="1:12" ht="14.4" x14ac:dyDescent="0.2">
      <c r="A19" s="229"/>
      <c r="B19" s="229"/>
      <c r="C19" s="49" t="s">
        <v>79</v>
      </c>
      <c r="D19" s="50" t="s">
        <v>199</v>
      </c>
      <c r="E19" s="50" t="s">
        <v>255</v>
      </c>
      <c r="F19" s="50" t="s">
        <v>287</v>
      </c>
      <c r="G19" s="50" t="s">
        <v>225</v>
      </c>
      <c r="H19" s="50" t="s">
        <v>206</v>
      </c>
      <c r="I19" s="50" t="s">
        <v>302</v>
      </c>
      <c r="J19" s="50" t="s">
        <v>250</v>
      </c>
      <c r="K19" s="50" t="s">
        <v>303</v>
      </c>
      <c r="L19" s="50" t="s">
        <v>304</v>
      </c>
    </row>
    <row r="20" spans="1:12" ht="14.4" x14ac:dyDescent="0.2">
      <c r="A20" s="229" t="s">
        <v>213</v>
      </c>
      <c r="B20" s="229" t="s">
        <v>205</v>
      </c>
      <c r="C20" s="49" t="s">
        <v>78</v>
      </c>
      <c r="D20" s="50" t="s">
        <v>199</v>
      </c>
      <c r="E20" s="50" t="s">
        <v>255</v>
      </c>
      <c r="F20" s="50" t="s">
        <v>220</v>
      </c>
      <c r="G20" s="50" t="s">
        <v>305</v>
      </c>
      <c r="H20" s="50" t="s">
        <v>206</v>
      </c>
      <c r="I20" s="50" t="s">
        <v>256</v>
      </c>
      <c r="J20" s="50" t="s">
        <v>200</v>
      </c>
      <c r="K20" s="50" t="s">
        <v>253</v>
      </c>
      <c r="L20" s="50" t="s">
        <v>257</v>
      </c>
    </row>
    <row r="21" spans="1:12" ht="14.4" x14ac:dyDescent="0.2">
      <c r="A21" s="229"/>
      <c r="B21" s="229"/>
      <c r="C21" s="49" t="s">
        <v>79</v>
      </c>
      <c r="D21" s="50" t="s">
        <v>199</v>
      </c>
      <c r="E21" s="50" t="s">
        <v>255</v>
      </c>
      <c r="F21" s="50" t="s">
        <v>220</v>
      </c>
      <c r="G21" s="50" t="s">
        <v>306</v>
      </c>
      <c r="H21" s="50" t="s">
        <v>206</v>
      </c>
      <c r="I21" s="50" t="s">
        <v>258</v>
      </c>
      <c r="J21" s="50" t="s">
        <v>259</v>
      </c>
      <c r="K21" s="50" t="s">
        <v>260</v>
      </c>
      <c r="L21" s="50" t="s">
        <v>261</v>
      </c>
    </row>
  </sheetData>
  <mergeCells count="16">
    <mergeCell ref="B6:B7"/>
    <mergeCell ref="A6:A7"/>
    <mergeCell ref="B8:B9"/>
    <mergeCell ref="A8:A9"/>
    <mergeCell ref="A10:A11"/>
    <mergeCell ref="B10:B11"/>
    <mergeCell ref="A12:A13"/>
    <mergeCell ref="A14:A15"/>
    <mergeCell ref="A16:A17"/>
    <mergeCell ref="A18:A19"/>
    <mergeCell ref="A20:A21"/>
    <mergeCell ref="B12:B13"/>
    <mergeCell ref="B14:B15"/>
    <mergeCell ref="B16:B17"/>
    <mergeCell ref="B18:B19"/>
    <mergeCell ref="B20:B2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70"/>
  <sheetViews>
    <sheetView topLeftCell="A45" zoomScale="85" zoomScaleNormal="85" workbookViewId="0">
      <selection activeCell="B55" sqref="B55"/>
    </sheetView>
  </sheetViews>
  <sheetFormatPr defaultColWidth="4.59765625" defaultRowHeight="18" customHeight="1" x14ac:dyDescent="0.15"/>
  <cols>
    <col min="1" max="1" width="8" style="1" customWidth="1"/>
    <col min="2" max="2" width="18.796875" style="1" customWidth="1"/>
    <col min="3" max="4" width="5" style="1" bestFit="1" customWidth="1"/>
    <col min="5" max="5" width="6" style="1" bestFit="1" customWidth="1"/>
    <col min="6" max="8" width="4.796875" style="1" bestFit="1" customWidth="1"/>
    <col min="9" max="9" width="4.59765625" style="1"/>
    <col min="10" max="13" width="4.796875" style="1" bestFit="1" customWidth="1"/>
    <col min="14" max="14" width="4.59765625" style="1"/>
    <col min="15" max="19" width="4.796875" style="1" bestFit="1" customWidth="1"/>
    <col min="20" max="20" width="7" style="1" customWidth="1"/>
    <col min="21" max="24" width="4.796875" style="1" bestFit="1" customWidth="1"/>
    <col min="25" max="25" width="10.296875" style="1" customWidth="1"/>
    <col min="26" max="26" width="7.09765625" style="1" customWidth="1"/>
    <col min="27" max="27" width="12.796875" style="1" customWidth="1"/>
    <col min="28" max="28" width="14.5" style="1" customWidth="1"/>
    <col min="29" max="29" width="9.796875" style="1" customWidth="1"/>
    <col min="30" max="30" width="11.09765625" style="1" customWidth="1"/>
    <col min="31" max="31" width="6.5" style="1" customWidth="1"/>
    <col min="32" max="32" width="9.59765625" style="1" customWidth="1"/>
    <col min="33" max="33" width="13.796875" style="1" customWidth="1"/>
    <col min="34" max="16384" width="4.59765625" style="1"/>
  </cols>
  <sheetData>
    <row r="1" spans="1:32" ht="18" customHeight="1" x14ac:dyDescent="0.1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</row>
    <row r="2" spans="1:32" ht="18" customHeight="1" x14ac:dyDescent="0.15">
      <c r="B2" s="81" t="s">
        <v>22</v>
      </c>
      <c r="C2" s="81"/>
      <c r="D2" s="81"/>
      <c r="E2" s="81"/>
      <c r="F2" s="81"/>
      <c r="G2" s="81"/>
      <c r="H2" s="81"/>
      <c r="I2" s="81" t="s">
        <v>23</v>
      </c>
      <c r="J2" s="81"/>
      <c r="K2" s="81"/>
      <c r="L2" s="81"/>
      <c r="M2" s="81"/>
      <c r="N2" s="81" t="s">
        <v>50</v>
      </c>
      <c r="O2" s="81"/>
      <c r="P2" s="81"/>
      <c r="Q2" s="81"/>
      <c r="R2" s="81"/>
      <c r="S2" s="81"/>
      <c r="T2" s="81"/>
      <c r="U2" s="81" t="s">
        <v>24</v>
      </c>
      <c r="V2" s="81"/>
      <c r="W2" s="81"/>
      <c r="X2" s="81"/>
      <c r="Y2" s="81"/>
      <c r="AA2" s="4" t="s">
        <v>80</v>
      </c>
      <c r="AB2" s="231" t="s">
        <v>81</v>
      </c>
      <c r="AC2" s="231"/>
      <c r="AD2" s="231"/>
      <c r="AE2" s="231"/>
      <c r="AF2" s="231"/>
    </row>
    <row r="3" spans="1:32" ht="18" customHeight="1" x14ac:dyDescent="0.15">
      <c r="B3" s="5" t="s">
        <v>51</v>
      </c>
      <c r="C3" s="5" t="s">
        <v>25</v>
      </c>
      <c r="D3" s="5" t="s">
        <v>26</v>
      </c>
      <c r="E3" s="5" t="s">
        <v>27</v>
      </c>
      <c r="F3" s="5" t="s">
        <v>52</v>
      </c>
      <c r="G3" s="5" t="s">
        <v>53</v>
      </c>
      <c r="H3" s="5" t="s">
        <v>54</v>
      </c>
      <c r="I3" s="5" t="s">
        <v>29</v>
      </c>
      <c r="J3" s="5" t="s">
        <v>55</v>
      </c>
      <c r="K3" s="5" t="s">
        <v>25</v>
      </c>
      <c r="L3" s="5" t="s">
        <v>26</v>
      </c>
      <c r="M3" s="5" t="s">
        <v>28</v>
      </c>
      <c r="N3" s="5" t="s">
        <v>56</v>
      </c>
      <c r="O3" s="5" t="s">
        <v>57</v>
      </c>
      <c r="P3" s="5" t="s">
        <v>58</v>
      </c>
      <c r="Q3" s="5" t="s">
        <v>59</v>
      </c>
      <c r="R3" s="5" t="s">
        <v>60</v>
      </c>
      <c r="S3" s="5" t="s">
        <v>61</v>
      </c>
      <c r="T3" s="7" t="s">
        <v>30</v>
      </c>
      <c r="U3" s="5" t="s">
        <v>62</v>
      </c>
      <c r="V3" s="7" t="s">
        <v>63</v>
      </c>
      <c r="W3" s="7" t="s">
        <v>94</v>
      </c>
      <c r="X3" s="7" t="s">
        <v>95</v>
      </c>
      <c r="Y3" s="7" t="s">
        <v>64</v>
      </c>
      <c r="AA3" s="16" t="s">
        <v>82</v>
      </c>
      <c r="AB3" s="16" t="s">
        <v>83</v>
      </c>
      <c r="AC3" s="15" t="s">
        <v>84</v>
      </c>
      <c r="AD3" s="15" t="s">
        <v>85</v>
      </c>
      <c r="AE3" s="16" t="s">
        <v>86</v>
      </c>
      <c r="AF3" s="17" t="s">
        <v>87</v>
      </c>
    </row>
    <row r="4" spans="1:32" ht="18" customHeight="1" x14ac:dyDescent="0.15">
      <c r="B4" s="52" t="s">
        <v>31</v>
      </c>
      <c r="C4" s="53">
        <v>401</v>
      </c>
      <c r="D4" s="53">
        <v>602</v>
      </c>
      <c r="E4" s="53">
        <v>1024</v>
      </c>
      <c r="F4" s="53">
        <v>16</v>
      </c>
      <c r="G4" s="53">
        <v>80</v>
      </c>
      <c r="H4" s="53">
        <v>220</v>
      </c>
      <c r="I4" s="53" t="s">
        <v>65</v>
      </c>
      <c r="J4" s="53">
        <v>24</v>
      </c>
      <c r="K4" s="53">
        <v>44</v>
      </c>
      <c r="L4" s="53">
        <v>66</v>
      </c>
      <c r="M4" s="53">
        <v>182</v>
      </c>
      <c r="N4" s="53" t="s">
        <v>66</v>
      </c>
      <c r="O4" s="53">
        <v>235</v>
      </c>
      <c r="P4" s="53">
        <v>400</v>
      </c>
      <c r="Q4" s="53">
        <v>200</v>
      </c>
      <c r="R4" s="53">
        <v>300</v>
      </c>
      <c r="S4" s="53">
        <v>450</v>
      </c>
      <c r="T4" s="53">
        <v>6</v>
      </c>
      <c r="U4" s="53">
        <v>140</v>
      </c>
      <c r="V4" s="53">
        <v>2</v>
      </c>
      <c r="W4" s="53">
        <v>254</v>
      </c>
      <c r="X4" s="53">
        <v>300</v>
      </c>
      <c r="Y4" s="53">
        <v>140</v>
      </c>
      <c r="AA4" s="16" t="s">
        <v>88</v>
      </c>
      <c r="AB4" s="19">
        <v>9</v>
      </c>
      <c r="AC4" s="20">
        <v>6</v>
      </c>
      <c r="AD4" s="15">
        <v>1</v>
      </c>
      <c r="AE4" s="19" t="s">
        <v>89</v>
      </c>
      <c r="AF4" s="21">
        <v>60</v>
      </c>
    </row>
    <row r="5" spans="1:32" ht="18" customHeight="1" x14ac:dyDescent="0.15">
      <c r="B5" s="10" t="s">
        <v>308</v>
      </c>
      <c r="C5" s="5">
        <v>476</v>
      </c>
      <c r="D5" s="5">
        <v>714</v>
      </c>
      <c r="E5" s="5">
        <v>1216</v>
      </c>
      <c r="F5" s="5">
        <v>19</v>
      </c>
      <c r="G5" s="5">
        <v>80</v>
      </c>
      <c r="H5" s="5">
        <v>340</v>
      </c>
      <c r="I5" s="5" t="s">
        <v>32</v>
      </c>
      <c r="J5" s="5">
        <v>22</v>
      </c>
      <c r="K5" s="5">
        <v>47.1</v>
      </c>
      <c r="L5" s="5">
        <v>70.7</v>
      </c>
      <c r="M5" s="5">
        <v>141</v>
      </c>
      <c r="N5" s="5" t="s">
        <v>35</v>
      </c>
      <c r="O5" s="5">
        <v>235</v>
      </c>
      <c r="P5" s="5">
        <v>400</v>
      </c>
      <c r="Q5" s="5">
        <v>200</v>
      </c>
      <c r="R5" s="5">
        <v>300</v>
      </c>
      <c r="S5" s="5">
        <v>450</v>
      </c>
      <c r="T5" s="7">
        <v>6</v>
      </c>
      <c r="U5" s="7">
        <v>200</v>
      </c>
      <c r="V5" s="7">
        <v>3</v>
      </c>
      <c r="W5" s="7">
        <v>324</v>
      </c>
      <c r="X5" s="7">
        <v>370</v>
      </c>
      <c r="Y5" s="7">
        <v>140</v>
      </c>
      <c r="AA5" s="16" t="s">
        <v>90</v>
      </c>
      <c r="AB5" s="19">
        <v>12</v>
      </c>
      <c r="AC5" s="20">
        <v>7</v>
      </c>
      <c r="AD5" s="15">
        <v>2</v>
      </c>
      <c r="AE5" s="19" t="s">
        <v>91</v>
      </c>
      <c r="AF5" s="20">
        <v>70</v>
      </c>
    </row>
    <row r="6" spans="1:32" ht="18" customHeight="1" x14ac:dyDescent="0.15">
      <c r="B6" s="10" t="s">
        <v>33</v>
      </c>
      <c r="C6" s="5">
        <v>551</v>
      </c>
      <c r="D6" s="5">
        <v>827</v>
      </c>
      <c r="E6" s="5">
        <v>1408</v>
      </c>
      <c r="F6" s="5">
        <v>22</v>
      </c>
      <c r="G6" s="5">
        <v>80</v>
      </c>
      <c r="H6" s="5">
        <v>340</v>
      </c>
      <c r="I6" s="5" t="s">
        <v>34</v>
      </c>
      <c r="J6" s="5">
        <v>24</v>
      </c>
      <c r="K6" s="5">
        <v>57</v>
      </c>
      <c r="L6" s="5">
        <v>85.5</v>
      </c>
      <c r="M6" s="5">
        <v>228</v>
      </c>
      <c r="N6" s="5" t="s">
        <v>35</v>
      </c>
      <c r="O6" s="5">
        <v>235</v>
      </c>
      <c r="P6" s="5">
        <v>400</v>
      </c>
      <c r="Q6" s="5">
        <v>250</v>
      </c>
      <c r="R6" s="5">
        <v>375</v>
      </c>
      <c r="S6" s="5">
        <v>550</v>
      </c>
      <c r="T6" s="7">
        <v>6</v>
      </c>
      <c r="U6" s="7">
        <v>200</v>
      </c>
      <c r="V6" s="7">
        <v>3</v>
      </c>
      <c r="W6" s="7">
        <v>324</v>
      </c>
      <c r="X6" s="7">
        <v>370</v>
      </c>
      <c r="Y6" s="7">
        <v>140</v>
      </c>
      <c r="AA6" s="4"/>
      <c r="AB6" s="19">
        <v>16</v>
      </c>
      <c r="AC6" s="20">
        <v>8</v>
      </c>
      <c r="AD6" s="15">
        <v>3</v>
      </c>
      <c r="AE6" s="19" t="s">
        <v>92</v>
      </c>
      <c r="AF6" s="20">
        <v>75</v>
      </c>
    </row>
    <row r="7" spans="1:32" ht="18" customHeight="1" x14ac:dyDescent="0.15">
      <c r="B7" s="10" t="s">
        <v>36</v>
      </c>
      <c r="C7" s="5">
        <v>551</v>
      </c>
      <c r="D7" s="5">
        <v>827</v>
      </c>
      <c r="E7" s="5">
        <v>1408</v>
      </c>
      <c r="F7" s="5">
        <v>22</v>
      </c>
      <c r="G7" s="5">
        <v>80</v>
      </c>
      <c r="H7" s="5">
        <v>340</v>
      </c>
      <c r="I7" s="5" t="s">
        <v>34</v>
      </c>
      <c r="J7" s="5">
        <v>24</v>
      </c>
      <c r="K7" s="5">
        <v>57</v>
      </c>
      <c r="L7" s="5">
        <v>85.5</v>
      </c>
      <c r="M7" s="5">
        <v>228</v>
      </c>
      <c r="N7" s="5" t="s">
        <v>35</v>
      </c>
      <c r="O7" s="5">
        <v>235</v>
      </c>
      <c r="P7" s="5">
        <v>400</v>
      </c>
      <c r="Q7" s="5">
        <v>250</v>
      </c>
      <c r="R7" s="5">
        <v>375</v>
      </c>
      <c r="S7" s="5">
        <v>550</v>
      </c>
      <c r="T7" s="7">
        <v>6</v>
      </c>
      <c r="U7" s="7">
        <v>200</v>
      </c>
      <c r="V7" s="7">
        <v>3</v>
      </c>
      <c r="W7" s="7">
        <v>324</v>
      </c>
      <c r="X7" s="7">
        <v>370</v>
      </c>
      <c r="Y7" s="7">
        <v>140</v>
      </c>
      <c r="AA7" s="4"/>
      <c r="AB7" s="19">
        <v>19</v>
      </c>
      <c r="AC7" s="20">
        <v>9</v>
      </c>
      <c r="AD7" s="4"/>
      <c r="AE7" s="4"/>
      <c r="AF7" s="20">
        <v>90</v>
      </c>
    </row>
    <row r="8" spans="1:32" ht="18" customHeight="1" x14ac:dyDescent="0.15">
      <c r="B8" s="10" t="s">
        <v>37</v>
      </c>
      <c r="C8" s="5">
        <v>626</v>
      </c>
      <c r="D8" s="5">
        <v>940</v>
      </c>
      <c r="E8" s="5">
        <v>1600</v>
      </c>
      <c r="F8" s="5">
        <v>25</v>
      </c>
      <c r="G8" s="5">
        <v>80</v>
      </c>
      <c r="H8" s="5">
        <v>340</v>
      </c>
      <c r="I8" s="5" t="s">
        <v>34</v>
      </c>
      <c r="J8" s="5">
        <v>24</v>
      </c>
      <c r="K8" s="5">
        <v>57</v>
      </c>
      <c r="L8" s="5">
        <v>85.5</v>
      </c>
      <c r="M8" s="5">
        <v>228</v>
      </c>
      <c r="N8" s="5" t="s">
        <v>35</v>
      </c>
      <c r="O8" s="5">
        <v>235</v>
      </c>
      <c r="P8" s="5">
        <v>400</v>
      </c>
      <c r="Q8" s="5">
        <v>250</v>
      </c>
      <c r="R8" s="5">
        <v>375</v>
      </c>
      <c r="S8" s="5">
        <v>550</v>
      </c>
      <c r="T8" s="7">
        <v>6</v>
      </c>
      <c r="U8" s="7">
        <v>200</v>
      </c>
      <c r="V8" s="7">
        <v>3</v>
      </c>
      <c r="W8" s="7">
        <v>324</v>
      </c>
      <c r="X8" s="7">
        <v>370</v>
      </c>
      <c r="Y8" s="7">
        <v>140</v>
      </c>
      <c r="AA8" s="4"/>
      <c r="AB8" s="20">
        <v>22</v>
      </c>
      <c r="AD8" s="4"/>
      <c r="AE8" s="4"/>
      <c r="AF8" s="4"/>
    </row>
    <row r="9" spans="1:32" ht="18" customHeight="1" x14ac:dyDescent="0.15">
      <c r="B9" s="10" t="s">
        <v>38</v>
      </c>
      <c r="C9" s="5">
        <v>626</v>
      </c>
      <c r="D9" s="5">
        <v>940</v>
      </c>
      <c r="E9" s="5">
        <v>1600</v>
      </c>
      <c r="F9" s="5">
        <v>25</v>
      </c>
      <c r="G9" s="5">
        <v>80</v>
      </c>
      <c r="H9" s="5">
        <v>340</v>
      </c>
      <c r="I9" s="5" t="s">
        <v>39</v>
      </c>
      <c r="J9" s="5">
        <v>24</v>
      </c>
      <c r="K9" s="5">
        <v>57</v>
      </c>
      <c r="L9" s="5">
        <v>85.5</v>
      </c>
      <c r="M9" s="5">
        <v>228</v>
      </c>
      <c r="N9" s="5" t="s">
        <v>35</v>
      </c>
      <c r="O9" s="5">
        <v>235</v>
      </c>
      <c r="P9" s="5">
        <v>400</v>
      </c>
      <c r="Q9" s="5">
        <v>250</v>
      </c>
      <c r="R9" s="5">
        <v>375</v>
      </c>
      <c r="S9" s="5">
        <v>550</v>
      </c>
      <c r="T9" s="7">
        <v>6</v>
      </c>
      <c r="U9" s="7">
        <v>200</v>
      </c>
      <c r="V9" s="7">
        <v>3</v>
      </c>
      <c r="W9" s="7">
        <v>324</v>
      </c>
      <c r="X9" s="7">
        <v>370</v>
      </c>
      <c r="Y9" s="7">
        <v>140</v>
      </c>
      <c r="AA9" s="4"/>
      <c r="AB9" s="4"/>
      <c r="AD9" s="4"/>
      <c r="AE9" s="4"/>
      <c r="AF9" s="4"/>
    </row>
    <row r="10" spans="1:32" ht="18" customHeight="1" x14ac:dyDescent="0.15">
      <c r="B10" s="10" t="s">
        <v>40</v>
      </c>
      <c r="C10" s="5">
        <v>702</v>
      </c>
      <c r="D10" s="5">
        <v>1053</v>
      </c>
      <c r="E10" s="5">
        <v>1792</v>
      </c>
      <c r="F10" s="5">
        <v>28</v>
      </c>
      <c r="G10" s="5">
        <v>80</v>
      </c>
      <c r="H10" s="5">
        <v>340</v>
      </c>
      <c r="I10" s="5" t="s">
        <v>41</v>
      </c>
      <c r="J10" s="5">
        <v>26</v>
      </c>
      <c r="K10" s="5">
        <v>68</v>
      </c>
      <c r="L10" s="5">
        <v>102</v>
      </c>
      <c r="M10" s="5">
        <v>271</v>
      </c>
      <c r="N10" s="5" t="s">
        <v>35</v>
      </c>
      <c r="O10" s="5">
        <v>235</v>
      </c>
      <c r="P10" s="5">
        <v>400</v>
      </c>
      <c r="Q10" s="5">
        <v>300</v>
      </c>
      <c r="R10" s="5">
        <v>450</v>
      </c>
      <c r="S10" s="5">
        <v>650</v>
      </c>
      <c r="T10" s="7">
        <v>6</v>
      </c>
      <c r="U10" s="7">
        <v>200</v>
      </c>
      <c r="V10" s="7">
        <v>3</v>
      </c>
      <c r="W10" s="7">
        <v>324</v>
      </c>
      <c r="X10" s="7">
        <v>370</v>
      </c>
      <c r="Y10" s="7">
        <v>140</v>
      </c>
      <c r="AA10" s="4"/>
      <c r="AB10" s="4"/>
      <c r="AD10" s="4"/>
      <c r="AE10" s="4"/>
      <c r="AF10" s="4"/>
    </row>
    <row r="11" spans="1:32" ht="18" customHeight="1" x14ac:dyDescent="0.15">
      <c r="B11" s="11" t="s">
        <v>42</v>
      </c>
      <c r="C11" s="5">
        <v>554</v>
      </c>
      <c r="D11" s="5">
        <v>832</v>
      </c>
      <c r="E11" s="5">
        <v>1254</v>
      </c>
      <c r="F11" s="5">
        <v>16</v>
      </c>
      <c r="G11" s="5">
        <v>80</v>
      </c>
      <c r="H11" s="5">
        <v>220</v>
      </c>
      <c r="I11" s="5" t="s">
        <v>39</v>
      </c>
      <c r="J11" s="5">
        <v>24</v>
      </c>
      <c r="K11" s="5">
        <v>86.7</v>
      </c>
      <c r="L11" s="5">
        <v>130</v>
      </c>
      <c r="M11" s="5">
        <v>319</v>
      </c>
      <c r="N11" s="5" t="s">
        <v>43</v>
      </c>
      <c r="O11" s="5">
        <v>325</v>
      </c>
      <c r="P11" s="5">
        <v>490</v>
      </c>
      <c r="Q11" s="5">
        <v>250</v>
      </c>
      <c r="R11" s="5">
        <v>375</v>
      </c>
      <c r="S11" s="5">
        <v>550</v>
      </c>
      <c r="T11" s="7">
        <v>6</v>
      </c>
      <c r="U11" s="7">
        <v>140</v>
      </c>
      <c r="V11" s="7">
        <v>2</v>
      </c>
      <c r="W11" s="7">
        <v>254</v>
      </c>
      <c r="X11" s="7">
        <v>300</v>
      </c>
      <c r="Y11" s="7">
        <v>140</v>
      </c>
      <c r="AA11" s="4"/>
      <c r="AB11" s="4"/>
      <c r="AD11" s="4"/>
      <c r="AE11" s="4"/>
      <c r="AF11" s="4"/>
    </row>
    <row r="12" spans="1:32" ht="18" customHeight="1" x14ac:dyDescent="0.15">
      <c r="B12" s="11" t="s">
        <v>44</v>
      </c>
      <c r="C12" s="5">
        <v>658</v>
      </c>
      <c r="D12" s="5">
        <v>988</v>
      </c>
      <c r="E12" s="5">
        <v>1490</v>
      </c>
      <c r="F12" s="5">
        <v>19</v>
      </c>
      <c r="G12" s="5">
        <v>80</v>
      </c>
      <c r="H12" s="5">
        <v>340</v>
      </c>
      <c r="I12" s="5" t="s">
        <v>45</v>
      </c>
      <c r="J12" s="5">
        <v>22</v>
      </c>
      <c r="K12" s="5">
        <v>71.3</v>
      </c>
      <c r="L12" s="5">
        <v>107</v>
      </c>
      <c r="M12" s="5">
        <v>264</v>
      </c>
      <c r="N12" s="5" t="s">
        <v>43</v>
      </c>
      <c r="O12" s="5">
        <v>325</v>
      </c>
      <c r="P12" s="5">
        <v>490</v>
      </c>
      <c r="Q12" s="5">
        <v>250</v>
      </c>
      <c r="R12" s="5">
        <v>375</v>
      </c>
      <c r="S12" s="5">
        <v>550</v>
      </c>
      <c r="T12" s="7">
        <v>6</v>
      </c>
      <c r="U12" s="7">
        <v>200</v>
      </c>
      <c r="V12" s="7">
        <v>3</v>
      </c>
      <c r="W12" s="7">
        <v>324</v>
      </c>
      <c r="X12" s="7">
        <v>370</v>
      </c>
      <c r="Y12" s="7">
        <v>140</v>
      </c>
    </row>
    <row r="13" spans="1:32" ht="18" customHeight="1" x14ac:dyDescent="0.15">
      <c r="B13" s="11" t="s">
        <v>46</v>
      </c>
      <c r="C13" s="5">
        <v>762</v>
      </c>
      <c r="D13" s="5">
        <v>1144</v>
      </c>
      <c r="E13" s="5">
        <v>1724</v>
      </c>
      <c r="F13" s="5">
        <v>22</v>
      </c>
      <c r="G13" s="5">
        <v>80</v>
      </c>
      <c r="H13" s="5">
        <v>340</v>
      </c>
      <c r="I13" s="5" t="s">
        <v>39</v>
      </c>
      <c r="J13" s="5">
        <v>24</v>
      </c>
      <c r="K13" s="5">
        <v>86.7</v>
      </c>
      <c r="L13" s="5">
        <v>130</v>
      </c>
      <c r="M13" s="5">
        <v>319</v>
      </c>
      <c r="N13" s="5" t="s">
        <v>43</v>
      </c>
      <c r="O13" s="5">
        <v>325</v>
      </c>
      <c r="P13" s="5">
        <v>490</v>
      </c>
      <c r="Q13" s="5">
        <v>350</v>
      </c>
      <c r="R13" s="5">
        <v>525</v>
      </c>
      <c r="S13" s="5">
        <v>700</v>
      </c>
      <c r="T13" s="7">
        <v>6</v>
      </c>
      <c r="U13" s="7">
        <v>200</v>
      </c>
      <c r="V13" s="7">
        <v>3</v>
      </c>
      <c r="W13" s="7">
        <v>324</v>
      </c>
      <c r="X13" s="7">
        <v>370</v>
      </c>
      <c r="Y13" s="7">
        <v>140</v>
      </c>
    </row>
    <row r="14" spans="1:32" ht="18" customHeight="1" x14ac:dyDescent="0.15">
      <c r="B14" s="11" t="s">
        <v>47</v>
      </c>
      <c r="C14" s="5">
        <v>762</v>
      </c>
      <c r="D14" s="5">
        <v>1144</v>
      </c>
      <c r="E14" s="5">
        <v>1724</v>
      </c>
      <c r="F14" s="5">
        <v>22</v>
      </c>
      <c r="G14" s="5">
        <v>80</v>
      </c>
      <c r="H14" s="5">
        <v>340</v>
      </c>
      <c r="I14" s="5" t="s">
        <v>39</v>
      </c>
      <c r="J14" s="5">
        <v>24</v>
      </c>
      <c r="K14" s="5">
        <v>86.7</v>
      </c>
      <c r="L14" s="5">
        <v>130</v>
      </c>
      <c r="M14" s="5">
        <v>319</v>
      </c>
      <c r="N14" s="5" t="s">
        <v>43</v>
      </c>
      <c r="O14" s="5">
        <v>325</v>
      </c>
      <c r="P14" s="5">
        <v>490</v>
      </c>
      <c r="Q14" s="5">
        <v>350</v>
      </c>
      <c r="R14" s="5">
        <v>525</v>
      </c>
      <c r="S14" s="5">
        <v>700</v>
      </c>
      <c r="T14" s="7">
        <v>6</v>
      </c>
      <c r="U14" s="7">
        <v>200</v>
      </c>
      <c r="V14" s="7">
        <v>3</v>
      </c>
      <c r="W14" s="7">
        <v>324</v>
      </c>
      <c r="X14" s="7">
        <v>370</v>
      </c>
      <c r="Y14" s="7">
        <v>140</v>
      </c>
    </row>
    <row r="15" spans="1:32" ht="18" customHeight="1" x14ac:dyDescent="0.15">
      <c r="B15" s="52" t="s">
        <v>312</v>
      </c>
      <c r="C15" s="53">
        <v>866</v>
      </c>
      <c r="D15" s="53">
        <v>1300</v>
      </c>
      <c r="E15" s="53">
        <v>1960</v>
      </c>
      <c r="F15" s="53">
        <v>25</v>
      </c>
      <c r="G15" s="53">
        <v>80</v>
      </c>
      <c r="H15" s="53">
        <v>340</v>
      </c>
      <c r="I15" s="53" t="s">
        <v>39</v>
      </c>
      <c r="J15" s="53">
        <v>24</v>
      </c>
      <c r="K15" s="53">
        <v>86.7</v>
      </c>
      <c r="L15" s="53">
        <v>130</v>
      </c>
      <c r="M15" s="53">
        <v>319</v>
      </c>
      <c r="N15" s="53" t="s">
        <v>43</v>
      </c>
      <c r="O15" s="53">
        <v>325</v>
      </c>
      <c r="P15" s="53">
        <v>490</v>
      </c>
      <c r="Q15" s="53">
        <v>350</v>
      </c>
      <c r="R15" s="53">
        <v>525</v>
      </c>
      <c r="S15" s="53">
        <v>700</v>
      </c>
      <c r="T15" s="53">
        <v>6</v>
      </c>
      <c r="U15" s="53">
        <v>200</v>
      </c>
      <c r="V15" s="53">
        <v>3</v>
      </c>
      <c r="W15" s="53">
        <v>324</v>
      </c>
      <c r="X15" s="53">
        <v>370</v>
      </c>
      <c r="Y15" s="53">
        <v>140</v>
      </c>
    </row>
    <row r="16" spans="1:32" ht="18" customHeight="1" x14ac:dyDescent="0.15">
      <c r="B16" s="52" t="s">
        <v>310</v>
      </c>
      <c r="C16" s="53">
        <v>866</v>
      </c>
      <c r="D16" s="53">
        <v>1300</v>
      </c>
      <c r="E16" s="53">
        <v>1960</v>
      </c>
      <c r="F16" s="53">
        <v>25</v>
      </c>
      <c r="G16" s="53">
        <v>80</v>
      </c>
      <c r="H16" s="53">
        <v>340</v>
      </c>
      <c r="I16" s="53" t="s">
        <v>39</v>
      </c>
      <c r="J16" s="53">
        <v>24</v>
      </c>
      <c r="K16" s="53">
        <v>86.7</v>
      </c>
      <c r="L16" s="53">
        <v>130</v>
      </c>
      <c r="M16" s="53">
        <v>319</v>
      </c>
      <c r="N16" s="53" t="s">
        <v>43</v>
      </c>
      <c r="O16" s="53">
        <v>325</v>
      </c>
      <c r="P16" s="53">
        <v>490</v>
      </c>
      <c r="Q16" s="53">
        <v>350</v>
      </c>
      <c r="R16" s="53">
        <v>525</v>
      </c>
      <c r="S16" s="53">
        <v>700</v>
      </c>
      <c r="T16" s="53">
        <v>6</v>
      </c>
      <c r="U16" s="53">
        <v>200</v>
      </c>
      <c r="V16" s="53">
        <v>3</v>
      </c>
      <c r="W16" s="53">
        <v>324</v>
      </c>
      <c r="X16" s="53">
        <v>370</v>
      </c>
      <c r="Y16" s="53">
        <v>140</v>
      </c>
    </row>
    <row r="17" spans="2:25" ht="18" customHeight="1" x14ac:dyDescent="0.15">
      <c r="B17" s="11" t="s">
        <v>48</v>
      </c>
      <c r="C17" s="5">
        <v>970</v>
      </c>
      <c r="D17" s="5">
        <v>1456</v>
      </c>
      <c r="E17" s="5">
        <v>2195</v>
      </c>
      <c r="F17" s="5">
        <v>28</v>
      </c>
      <c r="G17" s="5">
        <v>80</v>
      </c>
      <c r="H17" s="5">
        <v>340</v>
      </c>
      <c r="I17" s="5" t="s">
        <v>41</v>
      </c>
      <c r="J17" s="5">
        <v>26</v>
      </c>
      <c r="K17" s="5">
        <v>103.3</v>
      </c>
      <c r="L17" s="5">
        <v>155</v>
      </c>
      <c r="M17" s="5">
        <v>380</v>
      </c>
      <c r="N17" s="5" t="s">
        <v>67</v>
      </c>
      <c r="O17" s="5">
        <v>325</v>
      </c>
      <c r="P17" s="5">
        <v>490</v>
      </c>
      <c r="Q17" s="5">
        <v>450</v>
      </c>
      <c r="R17" s="5">
        <v>650</v>
      </c>
      <c r="S17" s="5">
        <v>1000</v>
      </c>
      <c r="T17" s="7">
        <v>6</v>
      </c>
      <c r="U17" s="7">
        <v>200</v>
      </c>
      <c r="V17" s="7">
        <v>3</v>
      </c>
      <c r="W17" s="7">
        <v>324</v>
      </c>
      <c r="X17" s="7">
        <v>370</v>
      </c>
      <c r="Y17" s="7">
        <v>140</v>
      </c>
    </row>
    <row r="18" spans="2:25" ht="18" customHeight="1" x14ac:dyDescent="0.15">
      <c r="B18" s="11" t="s">
        <v>49</v>
      </c>
      <c r="C18" s="5">
        <v>1109</v>
      </c>
      <c r="D18" s="5">
        <v>1664</v>
      </c>
      <c r="E18" s="5">
        <v>2509</v>
      </c>
      <c r="F18" s="5">
        <v>32</v>
      </c>
      <c r="G18" s="5">
        <v>80</v>
      </c>
      <c r="H18" s="5">
        <v>340</v>
      </c>
      <c r="I18" s="5" t="s">
        <v>41</v>
      </c>
      <c r="J18" s="5">
        <v>26</v>
      </c>
      <c r="K18" s="5">
        <v>103.3</v>
      </c>
      <c r="L18" s="5">
        <v>155</v>
      </c>
      <c r="M18" s="5">
        <v>380</v>
      </c>
      <c r="N18" s="5" t="s">
        <v>43</v>
      </c>
      <c r="O18" s="5">
        <v>325</v>
      </c>
      <c r="P18" s="5">
        <v>490</v>
      </c>
      <c r="Q18" s="5">
        <v>450</v>
      </c>
      <c r="R18" s="5">
        <v>650</v>
      </c>
      <c r="S18" s="5">
        <v>1000</v>
      </c>
      <c r="T18" s="7">
        <v>6</v>
      </c>
      <c r="U18" s="7">
        <v>200</v>
      </c>
      <c r="V18" s="7">
        <v>3</v>
      </c>
      <c r="W18" s="7">
        <v>324</v>
      </c>
      <c r="X18" s="7">
        <v>370</v>
      </c>
      <c r="Y18" s="7">
        <v>140</v>
      </c>
    </row>
    <row r="20" spans="2:25" ht="18" customHeight="1" x14ac:dyDescent="0.15">
      <c r="B20" s="2" t="s">
        <v>68</v>
      </c>
      <c r="C20" s="2"/>
      <c r="D20" s="2"/>
      <c r="E20" s="2"/>
      <c r="F20" s="2"/>
      <c r="G20" s="2"/>
      <c r="H20" s="2"/>
      <c r="I20" s="2"/>
      <c r="J20" s="2"/>
      <c r="K20" s="2"/>
    </row>
    <row r="21" spans="2:25" ht="18" customHeight="1" x14ac:dyDescent="0.15">
      <c r="B21" s="232" t="s">
        <v>69</v>
      </c>
      <c r="C21" s="233"/>
      <c r="D21" s="233"/>
      <c r="E21" s="234"/>
      <c r="F21" s="2"/>
      <c r="G21" s="2"/>
      <c r="H21" s="2"/>
      <c r="I21" s="2"/>
      <c r="J21" s="2"/>
      <c r="K21" s="2"/>
    </row>
    <row r="22" spans="2:25" ht="18" customHeight="1" x14ac:dyDescent="0.15">
      <c r="B22" s="12" t="s">
        <v>70</v>
      </c>
      <c r="C22" s="13">
        <v>0</v>
      </c>
      <c r="D22" s="13">
        <v>9</v>
      </c>
      <c r="E22" s="13">
        <v>12</v>
      </c>
      <c r="F22" s="13">
        <v>16</v>
      </c>
      <c r="G22" s="13">
        <v>19</v>
      </c>
      <c r="H22" s="13">
        <v>22</v>
      </c>
      <c r="I22" s="13">
        <v>25</v>
      </c>
      <c r="J22" s="13">
        <v>28</v>
      </c>
      <c r="K22" s="13">
        <v>32</v>
      </c>
    </row>
    <row r="23" spans="2:25" ht="18" customHeight="1" x14ac:dyDescent="0.15">
      <c r="B23" s="12" t="s">
        <v>71</v>
      </c>
      <c r="C23" s="13">
        <v>0</v>
      </c>
      <c r="D23" s="13">
        <v>7</v>
      </c>
      <c r="E23" s="13">
        <v>9</v>
      </c>
      <c r="F23" s="13">
        <v>12</v>
      </c>
      <c r="G23" s="13">
        <v>13</v>
      </c>
      <c r="H23" s="13">
        <v>15</v>
      </c>
      <c r="I23" s="13">
        <v>17</v>
      </c>
      <c r="J23" s="13">
        <v>19</v>
      </c>
      <c r="K23" s="13">
        <v>22</v>
      </c>
    </row>
    <row r="24" spans="2:25" ht="18" customHeight="1" x14ac:dyDescent="0.15">
      <c r="B24" s="12" t="s">
        <v>72</v>
      </c>
      <c r="C24" s="13">
        <v>0</v>
      </c>
      <c r="D24" s="13">
        <v>4.9000000000000004</v>
      </c>
      <c r="E24" s="13">
        <f>0.7*E23</f>
        <v>6.3</v>
      </c>
      <c r="F24" s="13">
        <f>0.7*F23</f>
        <v>8.3999999999999986</v>
      </c>
      <c r="G24" s="14">
        <f>G23*SQRT(3)/2</f>
        <v>11.258330249197702</v>
      </c>
      <c r="H24" s="14">
        <f>H23*SQRT(3)/2</f>
        <v>12.990381056766578</v>
      </c>
      <c r="I24" s="14">
        <f>I23*SQRT(3)/2</f>
        <v>14.722431864335457</v>
      </c>
      <c r="J24" s="14">
        <f>J23*SQRT(3)/2</f>
        <v>16.454482671904334</v>
      </c>
      <c r="K24" s="14">
        <f>K23*SQRT(3)/2</f>
        <v>19.05255888325765</v>
      </c>
    </row>
    <row r="25" spans="2:25" ht="18" customHeight="1" x14ac:dyDescent="0.15">
      <c r="B25" s="12" t="s">
        <v>73</v>
      </c>
      <c r="C25" s="3"/>
      <c r="D25" s="3"/>
      <c r="E25" s="3"/>
      <c r="F25" s="3"/>
      <c r="G25" s="3"/>
      <c r="H25" s="3"/>
      <c r="I25" s="3"/>
      <c r="J25" s="3"/>
      <c r="K25" s="3"/>
    </row>
    <row r="26" spans="2:25" ht="18" customHeight="1" x14ac:dyDescent="0.15">
      <c r="B26" s="12" t="s">
        <v>74</v>
      </c>
      <c r="C26" s="13">
        <v>0</v>
      </c>
      <c r="D26" s="47">
        <v>6</v>
      </c>
      <c r="E26" s="47">
        <v>9</v>
      </c>
      <c r="F26" s="47">
        <v>12</v>
      </c>
      <c r="G26" s="47">
        <v>16</v>
      </c>
      <c r="H26" s="47">
        <v>19</v>
      </c>
      <c r="I26" s="47">
        <v>22</v>
      </c>
      <c r="J26" s="47">
        <v>25</v>
      </c>
      <c r="K26" s="3"/>
    </row>
    <row r="27" spans="2:25" ht="18" customHeight="1" x14ac:dyDescent="0.15">
      <c r="B27" s="12" t="s">
        <v>75</v>
      </c>
      <c r="C27" s="13">
        <v>0</v>
      </c>
      <c r="D27" s="47">
        <v>5</v>
      </c>
      <c r="E27" s="47">
        <v>7</v>
      </c>
      <c r="F27" s="47">
        <v>9</v>
      </c>
      <c r="G27" s="47">
        <v>12</v>
      </c>
      <c r="H27" s="47">
        <v>14</v>
      </c>
      <c r="I27" s="47">
        <v>16</v>
      </c>
      <c r="J27" s="47">
        <v>18</v>
      </c>
      <c r="K27" s="3"/>
    </row>
    <row r="28" spans="2:25" ht="18" customHeight="1" x14ac:dyDescent="0.15">
      <c r="B28" s="12" t="s">
        <v>76</v>
      </c>
      <c r="C28" s="13">
        <v>0</v>
      </c>
      <c r="D28" s="47">
        <f>D27*0.7</f>
        <v>3.5</v>
      </c>
      <c r="E28" s="47">
        <f t="shared" ref="E28:J28" si="0">E27*0.7</f>
        <v>4.8999999999999995</v>
      </c>
      <c r="F28" s="47">
        <f t="shared" si="0"/>
        <v>6.3</v>
      </c>
      <c r="G28" s="47">
        <f t="shared" si="0"/>
        <v>8.3999999999999986</v>
      </c>
      <c r="H28" s="47">
        <f t="shared" si="0"/>
        <v>9.7999999999999989</v>
      </c>
      <c r="I28" s="47">
        <f t="shared" si="0"/>
        <v>11.2</v>
      </c>
      <c r="J28" s="47">
        <f t="shared" si="0"/>
        <v>12.6</v>
      </c>
      <c r="K28" s="3"/>
    </row>
    <row r="30" spans="2:25" ht="18" customHeight="1" x14ac:dyDescent="0.15">
      <c r="B30" s="28" t="s">
        <v>77</v>
      </c>
      <c r="C30" s="18"/>
      <c r="D30" s="18"/>
      <c r="E30" s="18"/>
      <c r="F30" s="18"/>
      <c r="G30" s="18"/>
    </row>
    <row r="31" spans="2:25" ht="18" customHeight="1" x14ac:dyDescent="0.15">
      <c r="B31" s="230" t="s">
        <v>179</v>
      </c>
      <c r="C31" s="230"/>
      <c r="D31" s="230"/>
      <c r="E31" s="230"/>
      <c r="F31" s="230"/>
      <c r="G31" s="230"/>
    </row>
    <row r="32" spans="2:25" ht="18" customHeight="1" x14ac:dyDescent="0.15">
      <c r="B32" s="24" t="s">
        <v>178</v>
      </c>
      <c r="C32" s="24" t="s">
        <v>183</v>
      </c>
      <c r="D32" s="24" t="s">
        <v>182</v>
      </c>
      <c r="E32" s="230" t="s">
        <v>184</v>
      </c>
      <c r="F32" s="230"/>
      <c r="G32" s="230"/>
    </row>
    <row r="33" spans="2:17" ht="18" customHeight="1" x14ac:dyDescent="0.15">
      <c r="B33" s="24" t="s">
        <v>130</v>
      </c>
      <c r="C33" s="24">
        <v>235</v>
      </c>
      <c r="D33" s="24">
        <v>1.3</v>
      </c>
      <c r="E33" s="230">
        <v>120</v>
      </c>
      <c r="F33" s="230"/>
      <c r="G33" s="230"/>
      <c r="H33" s="29" t="s">
        <v>185</v>
      </c>
    </row>
    <row r="34" spans="2:17" ht="18" customHeight="1" x14ac:dyDescent="0.15">
      <c r="B34" s="24" t="s">
        <v>144</v>
      </c>
      <c r="C34" s="24">
        <v>235</v>
      </c>
      <c r="D34" s="24">
        <v>1.3</v>
      </c>
      <c r="E34" s="230">
        <v>120</v>
      </c>
      <c r="F34" s="230"/>
      <c r="G34" s="230"/>
      <c r="H34" s="29" t="s">
        <v>185</v>
      </c>
    </row>
    <row r="35" spans="2:17" ht="18" customHeight="1" x14ac:dyDescent="0.15">
      <c r="B35" s="24" t="s">
        <v>145</v>
      </c>
      <c r="C35" s="24">
        <v>235</v>
      </c>
      <c r="D35" s="24">
        <v>1.3</v>
      </c>
      <c r="E35" s="230">
        <v>120</v>
      </c>
      <c r="F35" s="230"/>
      <c r="G35" s="230"/>
      <c r="H35" s="29" t="s">
        <v>185</v>
      </c>
    </row>
    <row r="36" spans="2:17" ht="18" customHeight="1" x14ac:dyDescent="0.15">
      <c r="B36" s="24" t="s">
        <v>146</v>
      </c>
      <c r="C36" s="24">
        <v>235</v>
      </c>
      <c r="D36" s="24">
        <v>1.3</v>
      </c>
      <c r="E36" s="230">
        <v>120</v>
      </c>
      <c r="F36" s="230"/>
      <c r="G36" s="230"/>
      <c r="H36" s="29" t="s">
        <v>185</v>
      </c>
    </row>
    <row r="37" spans="2:17" ht="18" customHeight="1" x14ac:dyDescent="0.15">
      <c r="B37" s="24" t="s">
        <v>147</v>
      </c>
      <c r="C37" s="24">
        <v>235</v>
      </c>
      <c r="D37" s="24">
        <v>1.3</v>
      </c>
      <c r="E37" s="230">
        <v>120</v>
      </c>
      <c r="F37" s="230"/>
      <c r="G37" s="230"/>
      <c r="H37" s="29" t="s">
        <v>185</v>
      </c>
    </row>
    <row r="38" spans="2:17" ht="18" customHeight="1" x14ac:dyDescent="0.15">
      <c r="B38" s="24" t="s">
        <v>148</v>
      </c>
      <c r="C38" s="24">
        <v>235</v>
      </c>
      <c r="D38" s="24">
        <v>1.3</v>
      </c>
      <c r="E38" s="230">
        <v>120</v>
      </c>
      <c r="F38" s="230"/>
      <c r="G38" s="230"/>
      <c r="H38" s="29" t="s">
        <v>185</v>
      </c>
    </row>
    <row r="39" spans="2:17" ht="18" customHeight="1" x14ac:dyDescent="0.15">
      <c r="B39" s="24" t="s">
        <v>149</v>
      </c>
      <c r="C39" s="24">
        <v>235</v>
      </c>
      <c r="D39" s="24">
        <v>1.3</v>
      </c>
      <c r="E39" s="230">
        <v>120</v>
      </c>
      <c r="F39" s="230"/>
      <c r="G39" s="230"/>
      <c r="H39" s="29" t="s">
        <v>185</v>
      </c>
    </row>
    <row r="40" spans="2:17" ht="18" customHeight="1" x14ac:dyDescent="0.15">
      <c r="B40" s="24" t="s">
        <v>150</v>
      </c>
      <c r="C40" s="24">
        <v>235</v>
      </c>
      <c r="D40" s="24">
        <v>1.3</v>
      </c>
      <c r="E40" s="230">
        <v>120</v>
      </c>
      <c r="F40" s="230"/>
      <c r="G40" s="230"/>
      <c r="H40" s="29" t="s">
        <v>185</v>
      </c>
    </row>
    <row r="41" spans="2:17" ht="18" customHeight="1" x14ac:dyDescent="0.15">
      <c r="B41" s="24" t="s">
        <v>151</v>
      </c>
      <c r="C41" s="24">
        <v>235</v>
      </c>
      <c r="D41" s="24">
        <v>1.3</v>
      </c>
      <c r="E41" s="230">
        <v>120</v>
      </c>
      <c r="F41" s="230"/>
      <c r="G41" s="230"/>
      <c r="H41" s="29" t="s">
        <v>185</v>
      </c>
    </row>
    <row r="42" spans="2:17" ht="18" customHeight="1" x14ac:dyDescent="0.15">
      <c r="B42" s="24" t="s">
        <v>152</v>
      </c>
      <c r="C42" s="24">
        <v>235</v>
      </c>
      <c r="D42" s="24">
        <v>1.3</v>
      </c>
      <c r="E42" s="230">
        <v>120</v>
      </c>
      <c r="F42" s="230"/>
      <c r="G42" s="230"/>
      <c r="H42" s="29" t="s">
        <v>185</v>
      </c>
    </row>
    <row r="43" spans="2:17" ht="18" customHeight="1" x14ac:dyDescent="0.15">
      <c r="B43" s="24" t="s">
        <v>153</v>
      </c>
      <c r="C43" s="24">
        <v>235</v>
      </c>
      <c r="D43" s="24">
        <v>1.3</v>
      </c>
      <c r="E43" s="230">
        <v>120</v>
      </c>
      <c r="F43" s="230"/>
      <c r="G43" s="230"/>
      <c r="H43" s="29" t="s">
        <v>185</v>
      </c>
    </row>
    <row r="44" spans="2:17" ht="18" customHeight="1" x14ac:dyDescent="0.15">
      <c r="B44" s="24" t="s">
        <v>154</v>
      </c>
      <c r="C44" s="24">
        <v>235</v>
      </c>
      <c r="D44" s="24">
        <v>1.3</v>
      </c>
      <c r="E44" s="230">
        <v>120</v>
      </c>
      <c r="F44" s="230"/>
      <c r="G44" s="230"/>
      <c r="H44" s="29" t="s">
        <v>185</v>
      </c>
    </row>
    <row r="45" spans="2:17" ht="18" customHeight="1" x14ac:dyDescent="0.15">
      <c r="B45" s="24" t="s">
        <v>155</v>
      </c>
      <c r="C45" s="24">
        <v>235</v>
      </c>
      <c r="D45" s="24">
        <v>1.3</v>
      </c>
      <c r="E45" s="230">
        <v>120</v>
      </c>
      <c r="F45" s="230"/>
      <c r="G45" s="230"/>
      <c r="H45" s="29" t="s">
        <v>185</v>
      </c>
    </row>
    <row r="46" spans="2:17" ht="18" customHeight="1" x14ac:dyDescent="0.15">
      <c r="B46" s="24" t="s">
        <v>156</v>
      </c>
      <c r="C46" s="24">
        <v>235</v>
      </c>
      <c r="D46" s="24">
        <v>1.3</v>
      </c>
      <c r="E46" s="230">
        <v>120</v>
      </c>
      <c r="F46" s="230"/>
      <c r="G46" s="230"/>
      <c r="H46" s="29" t="s">
        <v>185</v>
      </c>
      <c r="P46" s="25"/>
      <c r="Q46" s="25"/>
    </row>
    <row r="47" spans="2:17" ht="18" customHeight="1" x14ac:dyDescent="0.15">
      <c r="B47" s="24" t="s">
        <v>157</v>
      </c>
      <c r="C47" s="24">
        <v>235</v>
      </c>
      <c r="D47" s="24">
        <v>1.3</v>
      </c>
      <c r="E47" s="230">
        <v>120</v>
      </c>
      <c r="F47" s="230"/>
      <c r="G47" s="230"/>
      <c r="H47" s="29" t="s">
        <v>185</v>
      </c>
    </row>
    <row r="48" spans="2:17" ht="18" customHeight="1" x14ac:dyDescent="0.15">
      <c r="B48" s="24" t="s">
        <v>158</v>
      </c>
      <c r="C48" s="24">
        <v>235</v>
      </c>
      <c r="D48" s="24">
        <v>1.3</v>
      </c>
      <c r="E48" s="230">
        <v>120</v>
      </c>
      <c r="F48" s="230"/>
      <c r="G48" s="230"/>
      <c r="H48" s="29" t="s">
        <v>185</v>
      </c>
    </row>
    <row r="49" spans="2:8" ht="18" customHeight="1" x14ac:dyDescent="0.15">
      <c r="B49" s="24" t="s">
        <v>159</v>
      </c>
      <c r="C49" s="24">
        <v>235</v>
      </c>
      <c r="D49" s="24">
        <v>1.3</v>
      </c>
      <c r="E49" s="230">
        <v>120</v>
      </c>
      <c r="F49" s="230"/>
      <c r="G49" s="230"/>
      <c r="H49" s="29" t="s">
        <v>185</v>
      </c>
    </row>
    <row r="50" spans="2:8" ht="18" customHeight="1" x14ac:dyDescent="0.15">
      <c r="B50" s="24" t="s">
        <v>160</v>
      </c>
      <c r="C50" s="24">
        <v>235</v>
      </c>
      <c r="D50" s="24">
        <v>1.3</v>
      </c>
      <c r="E50" s="230">
        <v>120</v>
      </c>
      <c r="F50" s="230"/>
      <c r="G50" s="230"/>
      <c r="H50" s="29" t="s">
        <v>185</v>
      </c>
    </row>
    <row r="51" spans="2:8" ht="18" customHeight="1" x14ac:dyDescent="0.15">
      <c r="B51" s="24" t="s">
        <v>161</v>
      </c>
      <c r="C51" s="24">
        <v>235</v>
      </c>
      <c r="D51" s="24">
        <v>1.3</v>
      </c>
      <c r="E51" s="230">
        <v>120</v>
      </c>
      <c r="F51" s="230"/>
      <c r="G51" s="230"/>
      <c r="H51" s="29" t="s">
        <v>185</v>
      </c>
    </row>
    <row r="52" spans="2:8" ht="18" customHeight="1" x14ac:dyDescent="0.15">
      <c r="B52" s="95" t="s">
        <v>180</v>
      </c>
      <c r="C52" s="93"/>
      <c r="D52" s="93"/>
      <c r="E52" s="93"/>
      <c r="F52" s="93"/>
      <c r="G52" s="94"/>
      <c r="H52" s="29"/>
    </row>
    <row r="53" spans="2:8" ht="18" customHeight="1" x14ac:dyDescent="0.15">
      <c r="B53" s="27" t="s">
        <v>178</v>
      </c>
      <c r="C53" s="24" t="s">
        <v>181</v>
      </c>
      <c r="D53" s="24" t="s">
        <v>182</v>
      </c>
      <c r="E53" s="24" t="s">
        <v>184</v>
      </c>
      <c r="F53" s="24"/>
      <c r="G53" s="24"/>
      <c r="H53" s="29" t="s">
        <v>185</v>
      </c>
    </row>
    <row r="54" spans="2:8" ht="18" customHeight="1" x14ac:dyDescent="0.15">
      <c r="B54" s="24" t="s">
        <v>186</v>
      </c>
      <c r="C54" s="24">
        <v>325</v>
      </c>
      <c r="D54" s="24">
        <v>1.2</v>
      </c>
      <c r="E54" s="230">
        <v>102</v>
      </c>
      <c r="F54" s="230"/>
      <c r="G54" s="230"/>
      <c r="H54" s="29" t="s">
        <v>185</v>
      </c>
    </row>
    <row r="55" spans="2:8" ht="18" customHeight="1" x14ac:dyDescent="0.15">
      <c r="B55" s="26" t="s">
        <v>162</v>
      </c>
      <c r="C55" s="24">
        <v>325</v>
      </c>
      <c r="D55" s="24">
        <v>1.2</v>
      </c>
      <c r="E55" s="230">
        <v>102</v>
      </c>
      <c r="F55" s="230"/>
      <c r="G55" s="230"/>
      <c r="H55" s="29" t="s">
        <v>185</v>
      </c>
    </row>
    <row r="56" spans="2:8" ht="18" customHeight="1" x14ac:dyDescent="0.15">
      <c r="B56" s="26" t="s">
        <v>163</v>
      </c>
      <c r="C56" s="24">
        <v>325</v>
      </c>
      <c r="D56" s="24">
        <v>1.2</v>
      </c>
      <c r="E56" s="230">
        <v>102</v>
      </c>
      <c r="F56" s="230"/>
      <c r="G56" s="230"/>
      <c r="H56" s="29" t="s">
        <v>185</v>
      </c>
    </row>
    <row r="57" spans="2:8" ht="18" customHeight="1" x14ac:dyDescent="0.15">
      <c r="B57" s="26" t="s">
        <v>164</v>
      </c>
      <c r="C57" s="24">
        <v>325</v>
      </c>
      <c r="D57" s="24">
        <v>1.2</v>
      </c>
      <c r="E57" s="230">
        <v>102</v>
      </c>
      <c r="F57" s="230"/>
      <c r="G57" s="230"/>
      <c r="H57" s="29" t="s">
        <v>185</v>
      </c>
    </row>
    <row r="58" spans="2:8" ht="18" customHeight="1" x14ac:dyDescent="0.15">
      <c r="B58" s="26" t="s">
        <v>165</v>
      </c>
      <c r="C58" s="24">
        <v>325</v>
      </c>
      <c r="D58" s="24">
        <v>1.2</v>
      </c>
      <c r="E58" s="230">
        <v>102</v>
      </c>
      <c r="F58" s="230"/>
      <c r="G58" s="230"/>
      <c r="H58" s="29" t="s">
        <v>185</v>
      </c>
    </row>
    <row r="59" spans="2:8" ht="18" customHeight="1" x14ac:dyDescent="0.15">
      <c r="B59" s="26" t="s">
        <v>166</v>
      </c>
      <c r="C59" s="24">
        <v>325</v>
      </c>
      <c r="D59" s="24">
        <v>1.2</v>
      </c>
      <c r="E59" s="230">
        <v>102</v>
      </c>
      <c r="F59" s="230"/>
      <c r="G59" s="230"/>
      <c r="H59" s="29" t="s">
        <v>185</v>
      </c>
    </row>
    <row r="60" spans="2:8" ht="18" customHeight="1" x14ac:dyDescent="0.15">
      <c r="B60" s="27" t="s">
        <v>167</v>
      </c>
      <c r="C60" s="24">
        <v>325</v>
      </c>
      <c r="D60" s="24">
        <v>1.2</v>
      </c>
      <c r="E60" s="230">
        <v>102</v>
      </c>
      <c r="F60" s="230"/>
      <c r="G60" s="230"/>
      <c r="H60" s="29" t="s">
        <v>185</v>
      </c>
    </row>
    <row r="61" spans="2:8" ht="18" customHeight="1" x14ac:dyDescent="0.15">
      <c r="B61" s="27" t="s">
        <v>168</v>
      </c>
      <c r="C61" s="24">
        <v>325</v>
      </c>
      <c r="D61" s="24">
        <v>1.2</v>
      </c>
      <c r="E61" s="230">
        <v>102</v>
      </c>
      <c r="F61" s="230"/>
      <c r="G61" s="230"/>
      <c r="H61" s="29" t="s">
        <v>185</v>
      </c>
    </row>
    <row r="62" spans="2:8" ht="18" customHeight="1" x14ac:dyDescent="0.15">
      <c r="B62" s="27" t="s">
        <v>169</v>
      </c>
      <c r="C62" s="24">
        <v>325</v>
      </c>
      <c r="D62" s="24">
        <v>1.2</v>
      </c>
      <c r="E62" s="230">
        <v>102</v>
      </c>
      <c r="F62" s="230"/>
      <c r="G62" s="230"/>
      <c r="H62" s="29" t="s">
        <v>185</v>
      </c>
    </row>
    <row r="63" spans="2:8" ht="18" customHeight="1" x14ac:dyDescent="0.15">
      <c r="B63" s="27" t="s">
        <v>170</v>
      </c>
      <c r="C63" s="24">
        <v>325</v>
      </c>
      <c r="D63" s="24">
        <v>1.2</v>
      </c>
      <c r="E63" s="230">
        <v>102</v>
      </c>
      <c r="F63" s="230"/>
      <c r="G63" s="230"/>
      <c r="H63" s="29" t="s">
        <v>185</v>
      </c>
    </row>
    <row r="64" spans="2:8" ht="18" customHeight="1" x14ac:dyDescent="0.15">
      <c r="B64" s="27" t="s">
        <v>171</v>
      </c>
      <c r="C64" s="24">
        <v>325</v>
      </c>
      <c r="D64" s="24">
        <v>1.2</v>
      </c>
      <c r="E64" s="230">
        <v>102</v>
      </c>
      <c r="F64" s="230"/>
      <c r="G64" s="230"/>
      <c r="H64" s="29" t="s">
        <v>185</v>
      </c>
    </row>
    <row r="65" spans="2:8" ht="18" customHeight="1" x14ac:dyDescent="0.15">
      <c r="B65" s="27" t="s">
        <v>172</v>
      </c>
      <c r="C65" s="24">
        <v>325</v>
      </c>
      <c r="D65" s="24">
        <v>1.2</v>
      </c>
      <c r="E65" s="230">
        <v>102</v>
      </c>
      <c r="F65" s="230"/>
      <c r="G65" s="230"/>
      <c r="H65" s="29" t="s">
        <v>185</v>
      </c>
    </row>
    <row r="66" spans="2:8" ht="18" customHeight="1" x14ac:dyDescent="0.15">
      <c r="B66" s="27" t="s">
        <v>173</v>
      </c>
      <c r="C66" s="24">
        <v>325</v>
      </c>
      <c r="D66" s="24">
        <v>1.2</v>
      </c>
      <c r="E66" s="95">
        <v>102</v>
      </c>
      <c r="F66" s="93"/>
      <c r="G66" s="94"/>
      <c r="H66" s="29" t="s">
        <v>185</v>
      </c>
    </row>
    <row r="67" spans="2:8" ht="18" customHeight="1" x14ac:dyDescent="0.15">
      <c r="B67" s="27" t="s">
        <v>174</v>
      </c>
      <c r="C67" s="24">
        <v>325</v>
      </c>
      <c r="D67" s="24">
        <v>1.2</v>
      </c>
      <c r="E67" s="95">
        <v>102</v>
      </c>
      <c r="F67" s="93"/>
      <c r="G67" s="94"/>
      <c r="H67" s="29" t="s">
        <v>185</v>
      </c>
    </row>
    <row r="68" spans="2:8" ht="18" customHeight="1" x14ac:dyDescent="0.15">
      <c r="B68" s="27" t="s">
        <v>175</v>
      </c>
      <c r="C68" s="24">
        <v>325</v>
      </c>
      <c r="D68" s="24">
        <v>1.2</v>
      </c>
      <c r="E68" s="95">
        <v>102</v>
      </c>
      <c r="F68" s="93"/>
      <c r="G68" s="94"/>
      <c r="H68" s="29" t="s">
        <v>185</v>
      </c>
    </row>
    <row r="69" spans="2:8" ht="18" customHeight="1" x14ac:dyDescent="0.15">
      <c r="B69" s="27" t="s">
        <v>176</v>
      </c>
      <c r="C69" s="24">
        <v>325</v>
      </c>
      <c r="D69" s="24">
        <v>1.2</v>
      </c>
      <c r="E69" s="95">
        <v>102</v>
      </c>
      <c r="F69" s="93"/>
      <c r="G69" s="94"/>
      <c r="H69" s="29" t="s">
        <v>185</v>
      </c>
    </row>
    <row r="70" spans="2:8" ht="18" customHeight="1" x14ac:dyDescent="0.15">
      <c r="B70" s="27" t="s">
        <v>177</v>
      </c>
      <c r="C70" s="24">
        <v>325</v>
      </c>
      <c r="D70" s="24">
        <v>1.2</v>
      </c>
      <c r="E70" s="95">
        <v>102</v>
      </c>
      <c r="F70" s="93"/>
      <c r="G70" s="94"/>
    </row>
  </sheetData>
  <sheetProtection selectLockedCells="1"/>
  <mergeCells count="45">
    <mergeCell ref="E58:G58"/>
    <mergeCell ref="E34:G34"/>
    <mergeCell ref="E69:G69"/>
    <mergeCell ref="E70:G70"/>
    <mergeCell ref="B52:G52"/>
    <mergeCell ref="E66:G66"/>
    <mergeCell ref="E67:G67"/>
    <mergeCell ref="E68:G68"/>
    <mergeCell ref="E63:G63"/>
    <mergeCell ref="E64:G64"/>
    <mergeCell ref="E65:G65"/>
    <mergeCell ref="E60:G60"/>
    <mergeCell ref="E61:G61"/>
    <mergeCell ref="E62:G62"/>
    <mergeCell ref="E55:G55"/>
    <mergeCell ref="E56:G56"/>
    <mergeCell ref="E57:G57"/>
    <mergeCell ref="B21:E21"/>
    <mergeCell ref="E32:G32"/>
    <mergeCell ref="E33:G33"/>
    <mergeCell ref="E59:G59"/>
    <mergeCell ref="E49:G49"/>
    <mergeCell ref="E50:G50"/>
    <mergeCell ref="E51:G51"/>
    <mergeCell ref="B31:G31"/>
    <mergeCell ref="E44:G44"/>
    <mergeCell ref="E45:G45"/>
    <mergeCell ref="E46:G46"/>
    <mergeCell ref="E47:G47"/>
    <mergeCell ref="E48:G48"/>
    <mergeCell ref="E39:G39"/>
    <mergeCell ref="E40:G40"/>
    <mergeCell ref="AB2:AF2"/>
    <mergeCell ref="B2:H2"/>
    <mergeCell ref="I2:M2"/>
    <mergeCell ref="N2:T2"/>
    <mergeCell ref="U2:Y2"/>
    <mergeCell ref="E54:G54"/>
    <mergeCell ref="E35:G35"/>
    <mergeCell ref="E36:G36"/>
    <mergeCell ref="E37:G37"/>
    <mergeCell ref="E38:G38"/>
    <mergeCell ref="E42:G42"/>
    <mergeCell ref="E43:G43"/>
    <mergeCell ref="E41:G41"/>
  </mergeCells>
  <phoneticPr fontId="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柱の検討(中間階)</vt:lpstr>
      <vt:lpstr>設計応力まとめ</vt:lpstr>
      <vt:lpstr>情報</vt:lpstr>
      <vt:lpstr>'柱の検討(中間階)'!Print_Area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後藤 健吾</dc:creator>
  <cp:lastModifiedBy>keita araki</cp:lastModifiedBy>
  <cp:lastPrinted>2018-06-19T23:15:54Z</cp:lastPrinted>
  <dcterms:created xsi:type="dcterms:W3CDTF">2016-09-13T04:40:02Z</dcterms:created>
  <dcterms:modified xsi:type="dcterms:W3CDTF">2020-10-29T03:26:38Z</dcterms:modified>
</cp:coreProperties>
</file>